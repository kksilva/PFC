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Pré-medidas" sheetId="2" state="visible" r:id="rId2"/>
    <sheet xmlns:r="http://schemas.openxmlformats.org/officeDocument/2006/relationships" name="Registro do ensa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34" customWidth="1" min="4" max="4"/>
  </cols>
  <sheetData>
    <row r="1">
      <c r="A1" s="1" t="inlineStr">
        <is>
          <t>ENSAIO DE TRAÇÃO - CHECKLIST DO DIA</t>
        </is>
      </c>
    </row>
    <row r="3">
      <c r="A3" s="2" t="inlineStr">
        <is>
          <t>Nº</t>
        </is>
      </c>
      <c r="B3" s="2" t="inlineStr">
        <is>
          <t>Etapa</t>
        </is>
      </c>
      <c r="C3" s="2" t="inlineStr">
        <is>
          <t>Feito (x)</t>
        </is>
      </c>
      <c r="D3" s="2" t="inlineStr">
        <is>
          <t>Valor anotado / observação</t>
        </is>
      </c>
    </row>
    <row r="4">
      <c r="A4" s="3" t="n">
        <v>1</v>
      </c>
      <c r="B4" s="3" t="inlineStr">
        <is>
          <t>Montar EVA no chão, plano e firme, na área toda</t>
        </is>
      </c>
      <c r="C4" s="3" t="inlineStr"/>
      <c r="D4" s="3" t="inlineStr"/>
    </row>
    <row r="5">
      <c r="A5" s="3" t="n">
        <v>2</v>
      </c>
      <c r="B5" s="3" t="inlineStr">
        <is>
          <t>Veículo sobre o EVA com massa adicional PRESO e centralizada</t>
        </is>
      </c>
      <c r="C5" s="3" t="inlineStr"/>
      <c r="D5" s="3" t="inlineStr"/>
    </row>
    <row r="6">
      <c r="A6" s="3" t="n">
        <v>3</v>
      </c>
      <c r="B6" s="3" t="inlineStr">
        <is>
          <t>Pesar o conjunto na vertical (fita no chassi, carro nivelado, suspenso e parado)</t>
        </is>
      </c>
      <c r="C6" s="3" t="inlineStr"/>
      <c r="D6" s="3" t="inlineStr">
        <is>
          <t>m_total = ____ kg</t>
        </is>
      </c>
    </row>
    <row r="7">
      <c r="A7" s="3" t="n">
        <v>4</v>
      </c>
      <c r="B7" s="3" t="inlineStr">
        <is>
          <t>Medir R_ef: centro da roda → superfície do EVA, 4 rodas × 2 medições</t>
        </is>
      </c>
      <c r="C7" s="3" t="inlineStr"/>
      <c r="D7" s="3" t="inlineStr">
        <is>
          <t>R_ef médio = ____ mm</t>
        </is>
      </c>
    </row>
    <row r="8">
      <c r="A8" s="3" t="n">
        <v>5</v>
      </c>
      <c r="B8" s="3" t="inlineStr">
        <is>
          <t>Medir θ: ângulo da balança com o veículo engatado e folga tirada (3 leituras)</t>
        </is>
      </c>
      <c r="C8" s="3" t="inlineStr"/>
      <c r="D8" s="3" t="inlineStr">
        <is>
          <t>θ = ____ °</t>
        </is>
      </c>
    </row>
    <row r="9">
      <c r="A9" s="3" t="n">
        <v>6</v>
      </c>
      <c r="B9" s="3" t="inlineStr">
        <is>
          <t>Engatar balança na estrutura na altura do eixo; corda na gaveta; linha horizontal</t>
        </is>
      </c>
      <c r="C9" s="3" t="inlineStr"/>
      <c r="D9" s="3" t="inlineStr"/>
    </row>
    <row r="10">
      <c r="A10" s="3" t="n">
        <v>7</v>
      </c>
      <c r="B10" s="3" t="inlineStr">
        <is>
          <t>Tirar folga (leve tensão) e TARAR a balança</t>
        </is>
      </c>
      <c r="C10" s="3" t="inlineStr"/>
      <c r="D10" s="3" t="inlineStr"/>
    </row>
    <row r="11">
      <c r="A11" s="3" t="n">
        <v>8</v>
      </c>
      <c r="B11" s="3" t="inlineStr">
        <is>
          <t>Conectar Due ao notebook; FECHAR Monitor Serial da IDE se aberta</t>
        </is>
      </c>
      <c r="C11" s="3" t="inlineStr"/>
      <c r="D11" s="3" t="inlineStr"/>
    </row>
    <row r="12">
      <c r="A12" s="3" t="n">
        <v>9</v>
      </c>
      <c r="B12" s="3" t="inlineStr">
        <is>
          <t>Rodar leitura.py na pasta do ensaio; informar nome do CSV</t>
        </is>
      </c>
      <c r="C12" s="3" t="inlineStr"/>
      <c r="D12" s="3" t="inlineStr">
        <is>
          <t>arquivo: ______.csv</t>
        </is>
      </c>
    </row>
    <row r="13">
      <c r="A13" s="3" t="n">
        <v>10</v>
      </c>
      <c r="B13" s="3" t="inlineStr">
        <is>
          <t>Calibrar offset (motor DESLIGADO, ~4 min) — conferir 'Offset calibrado'</t>
        </is>
      </c>
      <c r="C13" s="3" t="inlineStr"/>
      <c r="D13" s="3" t="inlineStr">
        <is>
          <t>offset = ____ V</t>
        </is>
      </c>
    </row>
    <row r="14">
      <c r="A14" s="3" t="n">
        <v>11</v>
      </c>
      <c r="B14" s="3" t="inlineStr">
        <is>
          <t>ENSAIO EM VAZIO: suspender carro, rodas livres, balança desacoplada</t>
        </is>
      </c>
      <c r="C14" s="3" t="inlineStr"/>
      <c r="D14" s="3" t="inlineStr"/>
    </row>
    <row r="15">
      <c r="A15" s="3" t="n">
        <v>12</v>
      </c>
      <c r="B15" s="3" t="inlineStr">
        <is>
          <t>Degraus de PWM subindo e descendo; registrar I por degrau (I₀)</t>
        </is>
      </c>
      <c r="C15" s="3" t="inlineStr"/>
      <c r="D15" s="3" t="inlineStr">
        <is>
          <t>I₀ salvo no CSV/nota</t>
        </is>
      </c>
    </row>
    <row r="16">
      <c r="A16" s="3" t="n">
        <v>13</v>
      </c>
      <c r="B16" s="3" t="inlineStr">
        <is>
          <t>Tirar carro do chão, engatar balança, tarar, conferir θ novamente</t>
        </is>
      </c>
      <c r="C16" s="3" t="inlineStr"/>
      <c r="D16" s="3" t="inlineStr"/>
    </row>
    <row r="17">
      <c r="A17" s="3" t="n">
        <v>14</v>
      </c>
      <c r="B17" s="3" t="inlineStr">
        <is>
          <t>ENSAIO DE TRAÇÃO: série 1 (subida+descida), ~20 degraus, pausas p/ resfriar</t>
        </is>
      </c>
      <c r="C17" s="3" t="inlineStr"/>
      <c r="D17" s="3" t="inlineStr"/>
    </row>
    <row r="18">
      <c r="A18" s="3" t="n">
        <v>15</v>
      </c>
      <c r="B18" s="3" t="inlineStr">
        <is>
          <t>Repetir séries 2 a 5 (nova tara a cada série)</t>
        </is>
      </c>
      <c r="C18" s="3" t="inlineStr"/>
      <c r="D18" s="3" t="inlineStr"/>
    </row>
    <row r="19">
      <c r="A19" s="3" t="n">
        <v>16</v>
      </c>
      <c r="B19" s="3" t="inlineStr">
        <is>
          <t>Abortar se I &gt; 110 A ou ESC cortar por temperatura</t>
        </is>
      </c>
      <c r="C19" s="3" t="inlineStr"/>
      <c r="D19" s="3" t="inlineStr"/>
    </row>
    <row r="20">
      <c r="A20" s="3" t="n">
        <v>17</v>
      </c>
      <c r="B20" s="3" t="inlineStr">
        <is>
          <t>Ao final: Ctrl+C, conferir CSV, anotar temperatura ambiente e observações</t>
        </is>
      </c>
      <c r="C20" s="3" t="inlineStr"/>
      <c r="D2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PRÉ-MEDIÇÕES (condição de ensaio: com massa, sobre EVA)</t>
        </is>
      </c>
    </row>
    <row r="3">
      <c r="A3" s="4" t="inlineStr">
        <is>
          <t>Pesagem (vertical, conjunto montado)</t>
        </is>
      </c>
    </row>
    <row r="5">
      <c r="A5" s="2" t="inlineStr">
        <is>
          <t>Medição</t>
        </is>
      </c>
      <c r="B5" s="2" t="inlineStr">
        <is>
          <t>Valor</t>
        </is>
      </c>
      <c r="C5" s="2" t="inlineStr">
        <is>
          <t>Unidade</t>
        </is>
      </c>
    </row>
    <row r="6">
      <c r="A6" s="5" t="inlineStr">
        <is>
          <t>Leitura balança (veículo + baterias + massa, suspenso)</t>
        </is>
      </c>
      <c r="B6" s="5" t="inlineStr"/>
      <c r="C6" s="5" t="inlineStr">
        <is>
          <t>kg</t>
        </is>
      </c>
    </row>
    <row r="7">
      <c r="A7" s="5" t="inlineStr">
        <is>
          <t>Massa adicional separada</t>
        </is>
      </c>
      <c r="B7" s="5" t="inlineStr"/>
      <c r="C7" s="5" t="inlineStr">
        <is>
          <t>kg</t>
        </is>
      </c>
    </row>
    <row r="8">
      <c r="A8" s="5" t="inlineStr">
        <is>
          <t>Massa do veículo sem carga adicional</t>
        </is>
      </c>
      <c r="B8" s="5" t="inlineStr"/>
      <c r="C8" s="5" t="inlineStr">
        <is>
          <t>kg</t>
        </is>
      </c>
    </row>
    <row r="9">
      <c r="A9" s="5" t="inlineStr">
        <is>
          <t>N = m_total × g  (g = 9,81)</t>
        </is>
      </c>
      <c r="B9" s="5">
        <f>B6*9.81</f>
        <v/>
      </c>
      <c r="C9" s="5" t="inlineStr">
        <is>
          <t>N</t>
        </is>
      </c>
    </row>
    <row r="12">
      <c r="A12" s="4" t="inlineStr">
        <is>
          <t>Raio efetivo (centro da roda → topo do EVA)</t>
        </is>
      </c>
    </row>
    <row r="13">
      <c r="A13" s="2" t="inlineStr">
        <is>
          <t>Roda</t>
        </is>
      </c>
      <c r="B13" s="2" t="inlineStr">
        <is>
          <t>Medida 1 (mm)</t>
        </is>
      </c>
      <c r="C13" s="2" t="inlineStr">
        <is>
          <t>Medida 2 (mm)</t>
        </is>
      </c>
      <c r="D13" s="2" t="inlineStr">
        <is>
          <t>Média (mm)</t>
        </is>
      </c>
    </row>
    <row r="14">
      <c r="A14" s="5" t="inlineStr">
        <is>
          <t>Dianteira esquerda</t>
        </is>
      </c>
      <c r="B14" s="5" t="inlineStr"/>
      <c r="C14" s="5" t="inlineStr"/>
      <c r="D14" s="5">
        <f>AVERAGE(B14:C14)</f>
        <v/>
      </c>
    </row>
    <row r="15">
      <c r="A15" s="5" t="inlineStr">
        <is>
          <t>Dianteira direita</t>
        </is>
      </c>
      <c r="B15" s="5" t="inlineStr"/>
      <c r="C15" s="5" t="inlineStr"/>
      <c r="D15" s="5">
        <f>AVERAGE(B15:C15)</f>
        <v/>
      </c>
    </row>
    <row r="16">
      <c r="A16" s="5" t="inlineStr">
        <is>
          <t>Traseira esquerda</t>
        </is>
      </c>
      <c r="B16" s="5" t="inlineStr"/>
      <c r="C16" s="5" t="inlineStr"/>
      <c r="D16" s="5">
        <f>AVERAGE(B16:C16)</f>
        <v/>
      </c>
    </row>
    <row r="17">
      <c r="A17" s="5" t="inlineStr">
        <is>
          <t>Traseira direita</t>
        </is>
      </c>
      <c r="B17" s="5" t="inlineStr"/>
      <c r="C17" s="5" t="inlineStr"/>
      <c r="D17" s="5">
        <f>AVERAGE(B17:C17)</f>
        <v/>
      </c>
    </row>
    <row r="18">
      <c r="A18" s="5" t="inlineStr">
        <is>
          <t>R_ef adotado (média das 4)</t>
        </is>
      </c>
      <c r="B18" s="5" t="inlineStr"/>
      <c r="C18" s="5" t="inlineStr"/>
      <c r="D18" s="5">
        <f>AVERAGE(D14:D17)</f>
        <v/>
      </c>
    </row>
    <row r="20">
      <c r="A20" s="4" t="inlineStr">
        <is>
          <t>Ângulo da balança (θ)</t>
        </is>
      </c>
    </row>
    <row r="21">
      <c r="A21" s="2" t="inlineStr">
        <is>
          <t>Leitura</t>
        </is>
      </c>
      <c r="B21" s="2" t="inlineStr">
        <is>
          <t>θ (graus)</t>
        </is>
      </c>
    </row>
    <row r="22">
      <c r="A22" s="5" t="inlineStr">
        <is>
          <t>Antes do ensaio 1</t>
        </is>
      </c>
      <c r="B22" s="5" t="inlineStr"/>
    </row>
    <row r="23">
      <c r="A23" s="5" t="inlineStr">
        <is>
          <t>Antes do ensaio 2</t>
        </is>
      </c>
      <c r="B23" s="5" t="inlineStr"/>
    </row>
    <row r="24">
      <c r="A24" s="5" t="inlineStr">
        <is>
          <t>Antes do ensaio 3</t>
        </is>
      </c>
      <c r="B24" s="5" t="inlineStr"/>
    </row>
    <row r="25">
      <c r="A25" s="5" t="inlineStr">
        <is>
          <t>No meio do ensaio</t>
        </is>
      </c>
      <c r="B25" s="5" t="inlineStr"/>
    </row>
    <row r="26">
      <c r="A26" s="5" t="inlineStr">
        <is>
          <t>Ao final 1</t>
        </is>
      </c>
      <c r="B26" s="5" t="inlineStr"/>
    </row>
    <row r="27">
      <c r="A27" s="5" t="inlineStr">
        <is>
          <t>Ao final 2</t>
        </is>
      </c>
      <c r="B27" s="5" t="inlineStr"/>
    </row>
    <row r="28">
      <c r="A28" s="5" t="inlineStr">
        <is>
          <t>Ao final 3</t>
        </is>
      </c>
      <c r="B28" s="5" t="inlineStr"/>
    </row>
    <row r="29">
      <c r="A29" s="5" t="inlineStr">
        <is>
          <t>θ adotado (média)</t>
        </is>
      </c>
      <c r="B29" s="5">
        <f>AVERAGE(B22:B28)</f>
        <v/>
      </c>
    </row>
    <row r="30">
      <c r="A30" s="5" t="inlineStr">
        <is>
          <t>cos θ</t>
        </is>
      </c>
      <c r="B30" s="5">
        <f>COS(RADIANS(B29))</f>
        <v/>
      </c>
    </row>
    <row r="31">
      <c r="A31" s="5" t="inlineStr">
        <is>
          <t>Fator de correção 1/cos θ</t>
        </is>
      </c>
      <c r="B31" s="5">
        <f>1/B30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12" customWidth="1" min="4" max="4"/>
    <col width="8" customWidth="1" min="5" max="5"/>
    <col width="8" customWidth="1" min="6" max="6"/>
    <col width="10" customWidth="1" min="7" max="7"/>
    <col width="12" customWidth="1" min="8" max="8"/>
    <col width="8" customWidth="1" min="9" max="9"/>
    <col width="8" customWidth="1" min="10" max="10"/>
    <col width="11" customWidth="1" min="11" max="11"/>
    <col width="12" customWidth="1" min="12" max="12"/>
    <col width="11" customWidth="1" min="13" max="13"/>
    <col width="24" customWidth="1" min="14" max="14"/>
  </cols>
  <sheetData>
    <row r="1">
      <c r="A1" s="1" t="inlineStr">
        <is>
          <t>REGISTRO DE PONTOS (anotar por degrau; corrente também sai no CSV do leitura.py)</t>
        </is>
      </c>
    </row>
    <row r="3">
      <c r="A3" s="2" t="inlineStr">
        <is>
          <t>Série</t>
        </is>
      </c>
      <c r="B3" s="2" t="inlineStr">
        <is>
          <t>Sentido (subida/descida)</t>
        </is>
      </c>
      <c r="C3" s="2" t="inlineStr">
        <is>
          <t>Degrau PWM (%)</t>
        </is>
      </c>
      <c r="D3" s="2" t="inlineStr">
        <is>
          <t>Corrente I (A) leit.1</t>
        </is>
      </c>
      <c r="E3" s="2" t="inlineStr">
        <is>
          <t>leit.2</t>
        </is>
      </c>
      <c r="F3" s="2" t="inlineStr">
        <is>
          <t>leit.3</t>
        </is>
      </c>
      <c r="G3" s="2" t="inlineStr">
        <is>
          <t>I média (A)</t>
        </is>
      </c>
      <c r="H3" s="2" t="inlineStr">
        <is>
          <t>Força balança (kgf) l.1</t>
        </is>
      </c>
      <c r="I3" s="2" t="inlineStr">
        <is>
          <t>l.2</t>
        </is>
      </c>
      <c r="J3" s="2" t="inlineStr">
        <is>
          <t>l.3</t>
        </is>
      </c>
      <c r="K3" s="2" t="inlineStr">
        <is>
          <t>F média (kgf)</t>
        </is>
      </c>
      <c r="L3" s="2" t="inlineStr">
        <is>
          <t>F corrigida (N)</t>
        </is>
      </c>
      <c r="M3" s="2" t="inlineStr">
        <is>
          <t>Torque T (N·m)</t>
        </is>
      </c>
      <c r="N3" s="2" t="inlineStr">
        <is>
          <t>Observações</t>
        </is>
      </c>
    </row>
    <row r="4">
      <c r="A4" s="5" t="n"/>
      <c r="B4" s="5" t="n"/>
      <c r="C4" s="5" t="n"/>
      <c r="D4" s="5" t="n"/>
      <c r="E4" s="5" t="n"/>
      <c r="F4" s="5" t="n"/>
      <c r="G4" s="5">
        <f>IF(COUNT(D4:F4)=0,"",AVERAGE(D4:F4))</f>
        <v/>
      </c>
      <c r="H4" s="5" t="n"/>
      <c r="I4" s="5" t="n"/>
      <c r="J4" s="5" t="n"/>
      <c r="K4" s="5">
        <f>IF(COUNT(H4:J4)=0,"",AVERAGE(H4:J4))</f>
        <v/>
      </c>
      <c r="L4" s="5">
        <f>IF(K4="","",K4*9.81/Pré-medidas!$B$30)</f>
        <v/>
      </c>
      <c r="M4" s="5">
        <f>IF(L4="","",L4*Pré-medidas!$D$18/1000)</f>
        <v/>
      </c>
      <c r="N4" s="5" t="n"/>
    </row>
    <row r="5">
      <c r="A5" s="5" t="n"/>
      <c r="B5" s="5" t="n"/>
      <c r="C5" s="5" t="n"/>
      <c r="D5" s="5" t="n"/>
      <c r="E5" s="5" t="n"/>
      <c r="F5" s="5" t="n"/>
      <c r="G5" s="5">
        <f>IF(COUNT(D5:F5)=0,"",AVERAGE(D5:F5))</f>
        <v/>
      </c>
      <c r="H5" s="5" t="n"/>
      <c r="I5" s="5" t="n"/>
      <c r="J5" s="5" t="n"/>
      <c r="K5" s="5">
        <f>IF(COUNT(H5:J5)=0,"",AVERAGE(H5:J5))</f>
        <v/>
      </c>
      <c r="L5" s="5">
        <f>IF(K5="","",K5*9.81/Pré-medidas!$B$30)</f>
        <v/>
      </c>
      <c r="M5" s="5">
        <f>IF(L5="","",L5*Pré-medidas!$D$18/1000)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>
        <f>IF(COUNT(D6:F6)=0,"",AVERAGE(D6:F6))</f>
        <v/>
      </c>
      <c r="H6" s="5" t="n"/>
      <c r="I6" s="5" t="n"/>
      <c r="J6" s="5" t="n"/>
      <c r="K6" s="5">
        <f>IF(COUNT(H6:J6)=0,"",AVERAGE(H6:J6))</f>
        <v/>
      </c>
      <c r="L6" s="5">
        <f>IF(K6="","",K6*9.81/Pré-medidas!$B$30)</f>
        <v/>
      </c>
      <c r="M6" s="5">
        <f>IF(L6="","",L6*Pré-medidas!$D$18/1000)</f>
        <v/>
      </c>
      <c r="N6" s="5" t="n"/>
    </row>
    <row r="7">
      <c r="A7" s="5" t="n"/>
      <c r="B7" s="5" t="n"/>
      <c r="C7" s="5" t="n"/>
      <c r="D7" s="5" t="n"/>
      <c r="E7" s="5" t="n"/>
      <c r="F7" s="5" t="n"/>
      <c r="G7" s="5">
        <f>IF(COUNT(D7:F7)=0,"",AVERAGE(D7:F7))</f>
        <v/>
      </c>
      <c r="H7" s="5" t="n"/>
      <c r="I7" s="5" t="n"/>
      <c r="J7" s="5" t="n"/>
      <c r="K7" s="5">
        <f>IF(COUNT(H7:J7)=0,"",AVERAGE(H7:J7))</f>
        <v/>
      </c>
      <c r="L7" s="5">
        <f>IF(K7="","",K7*9.81/Pré-medidas!$B$30)</f>
        <v/>
      </c>
      <c r="M7" s="5">
        <f>IF(L7="","",L7*Pré-medidas!$D$18/1000)</f>
        <v/>
      </c>
      <c r="N7" s="5" t="n"/>
    </row>
    <row r="8">
      <c r="A8" s="5" t="n"/>
      <c r="B8" s="5" t="n"/>
      <c r="C8" s="5" t="n"/>
      <c r="D8" s="5" t="n"/>
      <c r="E8" s="5" t="n"/>
      <c r="F8" s="5" t="n"/>
      <c r="G8" s="5">
        <f>IF(COUNT(D8:F8)=0,"",AVERAGE(D8:F8))</f>
        <v/>
      </c>
      <c r="H8" s="5" t="n"/>
      <c r="I8" s="5" t="n"/>
      <c r="J8" s="5" t="n"/>
      <c r="K8" s="5">
        <f>IF(COUNT(H8:J8)=0,"",AVERAGE(H8:J8))</f>
        <v/>
      </c>
      <c r="L8" s="5">
        <f>IF(K8="","",K8*9.81/Pré-medidas!$B$30)</f>
        <v/>
      </c>
      <c r="M8" s="5">
        <f>IF(L8="","",L8*Pré-medidas!$D$18/1000)</f>
        <v/>
      </c>
      <c r="N8" s="5" t="n"/>
    </row>
    <row r="9">
      <c r="A9" s="5" t="n"/>
      <c r="B9" s="5" t="n"/>
      <c r="C9" s="5" t="n"/>
      <c r="D9" s="5" t="n"/>
      <c r="E9" s="5" t="n"/>
      <c r="F9" s="5" t="n"/>
      <c r="G9" s="5">
        <f>IF(COUNT(D9:F9)=0,"",AVERAGE(D9:F9))</f>
        <v/>
      </c>
      <c r="H9" s="5" t="n"/>
      <c r="I9" s="5" t="n"/>
      <c r="J9" s="5" t="n"/>
      <c r="K9" s="5">
        <f>IF(COUNT(H9:J9)=0,"",AVERAGE(H9:J9))</f>
        <v/>
      </c>
      <c r="L9" s="5">
        <f>IF(K9="","",K9*9.81/Pré-medidas!$B$30)</f>
        <v/>
      </c>
      <c r="M9" s="5">
        <f>IF(L9="","",L9*Pré-medidas!$D$18/1000)</f>
        <v/>
      </c>
      <c r="N9" s="5" t="n"/>
    </row>
    <row r="10">
      <c r="A10" s="5" t="n"/>
      <c r="B10" s="5" t="n"/>
      <c r="C10" s="5" t="n"/>
      <c r="D10" s="5" t="n"/>
      <c r="E10" s="5" t="n"/>
      <c r="F10" s="5" t="n"/>
      <c r="G10" s="5">
        <f>IF(COUNT(D10:F10)=0,"",AVERAGE(D10:F10))</f>
        <v/>
      </c>
      <c r="H10" s="5" t="n"/>
      <c r="I10" s="5" t="n"/>
      <c r="J10" s="5" t="n"/>
      <c r="K10" s="5">
        <f>IF(COUNT(H10:J10)=0,"",AVERAGE(H10:J10))</f>
        <v/>
      </c>
      <c r="L10" s="5">
        <f>IF(K10="","",K10*9.81/Pré-medidas!$B$30)</f>
        <v/>
      </c>
      <c r="M10" s="5">
        <f>IF(L10="","",L10*Pré-medidas!$D$18/1000)</f>
        <v/>
      </c>
      <c r="N10" s="5" t="n"/>
    </row>
    <row r="11">
      <c r="A11" s="5" t="n"/>
      <c r="B11" s="5" t="n"/>
      <c r="C11" s="5" t="n"/>
      <c r="D11" s="5" t="n"/>
      <c r="E11" s="5" t="n"/>
      <c r="F11" s="5" t="n"/>
      <c r="G11" s="5">
        <f>IF(COUNT(D11:F11)=0,"",AVERAGE(D11:F11))</f>
        <v/>
      </c>
      <c r="H11" s="5" t="n"/>
      <c r="I11" s="5" t="n"/>
      <c r="J11" s="5" t="n"/>
      <c r="K11" s="5">
        <f>IF(COUNT(H11:J11)=0,"",AVERAGE(H11:J11))</f>
        <v/>
      </c>
      <c r="L11" s="5">
        <f>IF(K11="","",K11*9.81/Pré-medidas!$B$30)</f>
        <v/>
      </c>
      <c r="M11" s="5">
        <f>IF(L11="","",L11*Pré-medidas!$D$18/1000)</f>
        <v/>
      </c>
      <c r="N11" s="5" t="n"/>
    </row>
    <row r="12">
      <c r="A12" s="5" t="n"/>
      <c r="B12" s="5" t="n"/>
      <c r="C12" s="5" t="n"/>
      <c r="D12" s="5" t="n"/>
      <c r="E12" s="5" t="n"/>
      <c r="F12" s="5" t="n"/>
      <c r="G12" s="5">
        <f>IF(COUNT(D12:F12)=0,"",AVERAGE(D12:F12))</f>
        <v/>
      </c>
      <c r="H12" s="5" t="n"/>
      <c r="I12" s="5" t="n"/>
      <c r="J12" s="5" t="n"/>
      <c r="K12" s="5">
        <f>IF(COUNT(H12:J12)=0,"",AVERAGE(H12:J12))</f>
        <v/>
      </c>
      <c r="L12" s="5">
        <f>IF(K12="","",K12*9.81/Pré-medidas!$B$30)</f>
        <v/>
      </c>
      <c r="M12" s="5">
        <f>IF(L12="","",L12*Pré-medidas!$D$18/1000)</f>
        <v/>
      </c>
      <c r="N12" s="5" t="n"/>
    </row>
    <row r="13">
      <c r="A13" s="5" t="n"/>
      <c r="B13" s="5" t="n"/>
      <c r="C13" s="5" t="n"/>
      <c r="D13" s="5" t="n"/>
      <c r="E13" s="5" t="n"/>
      <c r="F13" s="5" t="n"/>
      <c r="G13" s="5">
        <f>IF(COUNT(D13:F13)=0,"",AVERAGE(D13:F13))</f>
        <v/>
      </c>
      <c r="H13" s="5" t="n"/>
      <c r="I13" s="5" t="n"/>
      <c r="J13" s="5" t="n"/>
      <c r="K13" s="5">
        <f>IF(COUNT(H13:J13)=0,"",AVERAGE(H13:J13))</f>
        <v/>
      </c>
      <c r="L13" s="5">
        <f>IF(K13="","",K13*9.81/Pré-medidas!$B$30)</f>
        <v/>
      </c>
      <c r="M13" s="5">
        <f>IF(L13="","",L13*Pré-medidas!$D$18/1000)</f>
        <v/>
      </c>
      <c r="N13" s="5" t="n"/>
    </row>
    <row r="14">
      <c r="A14" s="5" t="n"/>
      <c r="B14" s="5" t="n"/>
      <c r="C14" s="5" t="n"/>
      <c r="D14" s="5" t="n"/>
      <c r="E14" s="5" t="n"/>
      <c r="F14" s="5" t="n"/>
      <c r="G14" s="5">
        <f>IF(COUNT(D14:F14)=0,"",AVERAGE(D14:F14))</f>
        <v/>
      </c>
      <c r="H14" s="5" t="n"/>
      <c r="I14" s="5" t="n"/>
      <c r="J14" s="5" t="n"/>
      <c r="K14" s="5">
        <f>IF(COUNT(H14:J14)=0,"",AVERAGE(H14:J14))</f>
        <v/>
      </c>
      <c r="L14" s="5">
        <f>IF(K14="","",K14*9.81/Pré-medidas!$B$30)</f>
        <v/>
      </c>
      <c r="M14" s="5">
        <f>IF(L14="","",L14*Pré-medidas!$D$18/1000)</f>
        <v/>
      </c>
      <c r="N14" s="5" t="n"/>
    </row>
    <row r="15">
      <c r="A15" s="5" t="n"/>
      <c r="B15" s="5" t="n"/>
      <c r="C15" s="5" t="n"/>
      <c r="D15" s="5" t="n"/>
      <c r="E15" s="5" t="n"/>
      <c r="F15" s="5" t="n"/>
      <c r="G15" s="5">
        <f>IF(COUNT(D15:F15)=0,"",AVERAGE(D15:F15))</f>
        <v/>
      </c>
      <c r="H15" s="5" t="n"/>
      <c r="I15" s="5" t="n"/>
      <c r="J15" s="5" t="n"/>
      <c r="K15" s="5">
        <f>IF(COUNT(H15:J15)=0,"",AVERAGE(H15:J15))</f>
        <v/>
      </c>
      <c r="L15" s="5">
        <f>IF(K15="","",K15*9.81/Pré-medidas!$B$30)</f>
        <v/>
      </c>
      <c r="M15" s="5">
        <f>IF(L15="","",L15*Pré-medidas!$D$18/1000)</f>
        <v/>
      </c>
      <c r="N15" s="5" t="n"/>
    </row>
    <row r="16">
      <c r="A16" s="5" t="n"/>
      <c r="B16" s="5" t="n"/>
      <c r="C16" s="5" t="n"/>
      <c r="D16" s="5" t="n"/>
      <c r="E16" s="5" t="n"/>
      <c r="F16" s="5" t="n"/>
      <c r="G16" s="5">
        <f>IF(COUNT(D16:F16)=0,"",AVERAGE(D16:F16))</f>
        <v/>
      </c>
      <c r="H16" s="5" t="n"/>
      <c r="I16" s="5" t="n"/>
      <c r="J16" s="5" t="n"/>
      <c r="K16" s="5">
        <f>IF(COUNT(H16:J16)=0,"",AVERAGE(H16:J16))</f>
        <v/>
      </c>
      <c r="L16" s="5">
        <f>IF(K16="","",K16*9.81/Pré-medidas!$B$30)</f>
        <v/>
      </c>
      <c r="M16" s="5">
        <f>IF(L16="","",L16*Pré-medidas!$D$18/1000)</f>
        <v/>
      </c>
      <c r="N16" s="5" t="n"/>
    </row>
    <row r="17">
      <c r="A17" s="5" t="n"/>
      <c r="B17" s="5" t="n"/>
      <c r="C17" s="5" t="n"/>
      <c r="D17" s="5" t="n"/>
      <c r="E17" s="5" t="n"/>
      <c r="F17" s="5" t="n"/>
      <c r="G17" s="5">
        <f>IF(COUNT(D17:F17)=0,"",AVERAGE(D17:F17))</f>
        <v/>
      </c>
      <c r="H17" s="5" t="n"/>
      <c r="I17" s="5" t="n"/>
      <c r="J17" s="5" t="n"/>
      <c r="K17" s="5">
        <f>IF(COUNT(H17:J17)=0,"",AVERAGE(H17:J17))</f>
        <v/>
      </c>
      <c r="L17" s="5">
        <f>IF(K17="","",K17*9.81/Pré-medidas!$B$30)</f>
        <v/>
      </c>
      <c r="M17" s="5">
        <f>IF(L17="","",L17*Pré-medidas!$D$18/1000)</f>
        <v/>
      </c>
      <c r="N17" s="5" t="n"/>
    </row>
    <row r="18">
      <c r="A18" s="5" t="n"/>
      <c r="B18" s="5" t="n"/>
      <c r="C18" s="5" t="n"/>
      <c r="D18" s="5" t="n"/>
      <c r="E18" s="5" t="n"/>
      <c r="F18" s="5" t="n"/>
      <c r="G18" s="5">
        <f>IF(COUNT(D18:F18)=0,"",AVERAGE(D18:F18))</f>
        <v/>
      </c>
      <c r="H18" s="5" t="n"/>
      <c r="I18" s="5" t="n"/>
      <c r="J18" s="5" t="n"/>
      <c r="K18" s="5">
        <f>IF(COUNT(H18:J18)=0,"",AVERAGE(H18:J18))</f>
        <v/>
      </c>
      <c r="L18" s="5">
        <f>IF(K18="","",K18*9.81/Pré-medidas!$B$30)</f>
        <v/>
      </c>
      <c r="M18" s="5">
        <f>IF(L18="","",L18*Pré-medidas!$D$18/1000)</f>
        <v/>
      </c>
      <c r="N18" s="5" t="n"/>
    </row>
    <row r="19">
      <c r="A19" s="5" t="n"/>
      <c r="B19" s="5" t="n"/>
      <c r="C19" s="5" t="n"/>
      <c r="D19" s="5" t="n"/>
      <c r="E19" s="5" t="n"/>
      <c r="F19" s="5" t="n"/>
      <c r="G19" s="5">
        <f>IF(COUNT(D19:F19)=0,"",AVERAGE(D19:F19))</f>
        <v/>
      </c>
      <c r="H19" s="5" t="n"/>
      <c r="I19" s="5" t="n"/>
      <c r="J19" s="5" t="n"/>
      <c r="K19" s="5">
        <f>IF(COUNT(H19:J19)=0,"",AVERAGE(H19:J19))</f>
        <v/>
      </c>
      <c r="L19" s="5">
        <f>IF(K19="","",K19*9.81/Pré-medidas!$B$30)</f>
        <v/>
      </c>
      <c r="M19" s="5">
        <f>IF(L19="","",L19*Pré-medidas!$D$18/1000)</f>
        <v/>
      </c>
      <c r="N19" s="5" t="n"/>
    </row>
    <row r="20">
      <c r="A20" s="5" t="n"/>
      <c r="B20" s="5" t="n"/>
      <c r="C20" s="5" t="n"/>
      <c r="D20" s="5" t="n"/>
      <c r="E20" s="5" t="n"/>
      <c r="F20" s="5" t="n"/>
      <c r="G20" s="5">
        <f>IF(COUNT(D20:F20)=0,"",AVERAGE(D20:F20))</f>
        <v/>
      </c>
      <c r="H20" s="5" t="n"/>
      <c r="I20" s="5" t="n"/>
      <c r="J20" s="5" t="n"/>
      <c r="K20" s="5">
        <f>IF(COUNT(H20:J20)=0,"",AVERAGE(H20:J20))</f>
        <v/>
      </c>
      <c r="L20" s="5">
        <f>IF(K20="","",K20*9.81/Pré-medidas!$B$30)</f>
        <v/>
      </c>
      <c r="M20" s="5">
        <f>IF(L20="","",L20*Pré-medidas!$D$18/1000)</f>
        <v/>
      </c>
      <c r="N20" s="5" t="n"/>
    </row>
    <row r="21">
      <c r="A21" s="5" t="n"/>
      <c r="B21" s="5" t="n"/>
      <c r="C21" s="5" t="n"/>
      <c r="D21" s="5" t="n"/>
      <c r="E21" s="5" t="n"/>
      <c r="F21" s="5" t="n"/>
      <c r="G21" s="5">
        <f>IF(COUNT(D21:F21)=0,"",AVERAGE(D21:F21))</f>
        <v/>
      </c>
      <c r="H21" s="5" t="n"/>
      <c r="I21" s="5" t="n"/>
      <c r="J21" s="5" t="n"/>
      <c r="K21" s="5">
        <f>IF(COUNT(H21:J21)=0,"",AVERAGE(H21:J21))</f>
        <v/>
      </c>
      <c r="L21" s="5">
        <f>IF(K21="","",K21*9.81/Pré-medidas!$B$30)</f>
        <v/>
      </c>
      <c r="M21" s="5">
        <f>IF(L21="","",L21*Pré-medidas!$D$18/1000)</f>
        <v/>
      </c>
      <c r="N21" s="5" t="n"/>
    </row>
    <row r="22">
      <c r="A22" s="5" t="n"/>
      <c r="B22" s="5" t="n"/>
      <c r="C22" s="5" t="n"/>
      <c r="D22" s="5" t="n"/>
      <c r="E22" s="5" t="n"/>
      <c r="F22" s="5" t="n"/>
      <c r="G22" s="5">
        <f>IF(COUNT(D22:F22)=0,"",AVERAGE(D22:F22))</f>
        <v/>
      </c>
      <c r="H22" s="5" t="n"/>
      <c r="I22" s="5" t="n"/>
      <c r="J22" s="5" t="n"/>
      <c r="K22" s="5">
        <f>IF(COUNT(H22:J22)=0,"",AVERAGE(H22:J22))</f>
        <v/>
      </c>
      <c r="L22" s="5">
        <f>IF(K22="","",K22*9.81/Pré-medidas!$B$30)</f>
        <v/>
      </c>
      <c r="M22" s="5">
        <f>IF(L22="","",L22*Pré-medidas!$D$18/1000)</f>
        <v/>
      </c>
      <c r="N22" s="5" t="n"/>
    </row>
    <row r="23">
      <c r="A23" s="5" t="n"/>
      <c r="B23" s="5" t="n"/>
      <c r="C23" s="5" t="n"/>
      <c r="D23" s="5" t="n"/>
      <c r="E23" s="5" t="n"/>
      <c r="F23" s="5" t="n"/>
      <c r="G23" s="5">
        <f>IF(COUNT(D23:F23)=0,"",AVERAGE(D23:F23))</f>
        <v/>
      </c>
      <c r="H23" s="5" t="n"/>
      <c r="I23" s="5" t="n"/>
      <c r="J23" s="5" t="n"/>
      <c r="K23" s="5">
        <f>IF(COUNT(H23:J23)=0,"",AVERAGE(H23:J23))</f>
        <v/>
      </c>
      <c r="L23" s="5">
        <f>IF(K23="","",K23*9.81/Pré-medidas!$B$30)</f>
        <v/>
      </c>
      <c r="M23" s="5">
        <f>IF(L23="","",L23*Pré-medidas!$D$18/1000)</f>
        <v/>
      </c>
      <c r="N23" s="5" t="n"/>
    </row>
    <row r="24">
      <c r="A24" s="5" t="n"/>
      <c r="B24" s="5" t="n"/>
      <c r="C24" s="5" t="n"/>
      <c r="D24" s="5" t="n"/>
      <c r="E24" s="5" t="n"/>
      <c r="F24" s="5" t="n"/>
      <c r="G24" s="5">
        <f>IF(COUNT(D24:F24)=0,"",AVERAGE(D24:F24))</f>
        <v/>
      </c>
      <c r="H24" s="5" t="n"/>
      <c r="I24" s="5" t="n"/>
      <c r="J24" s="5" t="n"/>
      <c r="K24" s="5">
        <f>IF(COUNT(H24:J24)=0,"",AVERAGE(H24:J24))</f>
        <v/>
      </c>
      <c r="L24" s="5">
        <f>IF(K24="","",K24*9.81/Pré-medidas!$B$30)</f>
        <v/>
      </c>
      <c r="M24" s="5">
        <f>IF(L24="","",L24*Pré-medidas!$D$18/1000)</f>
        <v/>
      </c>
      <c r="N24" s="5" t="n"/>
    </row>
    <row r="25">
      <c r="A25" s="5" t="n"/>
      <c r="B25" s="5" t="n"/>
      <c r="C25" s="5" t="n"/>
      <c r="D25" s="5" t="n"/>
      <c r="E25" s="5" t="n"/>
      <c r="F25" s="5" t="n"/>
      <c r="G25" s="5">
        <f>IF(COUNT(D25:F25)=0,"",AVERAGE(D25:F25))</f>
        <v/>
      </c>
      <c r="H25" s="5" t="n"/>
      <c r="I25" s="5" t="n"/>
      <c r="J25" s="5" t="n"/>
      <c r="K25" s="5">
        <f>IF(COUNT(H25:J25)=0,"",AVERAGE(H25:J25))</f>
        <v/>
      </c>
      <c r="L25" s="5">
        <f>IF(K25="","",K25*9.81/Pré-medidas!$B$30)</f>
        <v/>
      </c>
      <c r="M25" s="5">
        <f>IF(L25="","",L25*Pré-medidas!$D$18/1000)</f>
        <v/>
      </c>
      <c r="N25" s="5" t="n"/>
    </row>
    <row r="26">
      <c r="A26" s="5" t="n"/>
      <c r="B26" s="5" t="n"/>
      <c r="C26" s="5" t="n"/>
      <c r="D26" s="5" t="n"/>
      <c r="E26" s="5" t="n"/>
      <c r="F26" s="5" t="n"/>
      <c r="G26" s="5">
        <f>IF(COUNT(D26:F26)=0,"",AVERAGE(D26:F26))</f>
        <v/>
      </c>
      <c r="H26" s="5" t="n"/>
      <c r="I26" s="5" t="n"/>
      <c r="J26" s="5" t="n"/>
      <c r="K26" s="5">
        <f>IF(COUNT(H26:J26)=0,"",AVERAGE(H26:J26))</f>
        <v/>
      </c>
      <c r="L26" s="5">
        <f>IF(K26="","",K26*9.81/Pré-medidas!$B$30)</f>
        <v/>
      </c>
      <c r="M26" s="5">
        <f>IF(L26="","",L26*Pré-medidas!$D$18/1000)</f>
        <v/>
      </c>
      <c r="N26" s="5" t="n"/>
    </row>
    <row r="27">
      <c r="A27" s="5" t="n"/>
      <c r="B27" s="5" t="n"/>
      <c r="C27" s="5" t="n"/>
      <c r="D27" s="5" t="n"/>
      <c r="E27" s="5" t="n"/>
      <c r="F27" s="5" t="n"/>
      <c r="G27" s="5">
        <f>IF(COUNT(D27:F27)=0,"",AVERAGE(D27:F27))</f>
        <v/>
      </c>
      <c r="H27" s="5" t="n"/>
      <c r="I27" s="5" t="n"/>
      <c r="J27" s="5" t="n"/>
      <c r="K27" s="5">
        <f>IF(COUNT(H27:J27)=0,"",AVERAGE(H27:J27))</f>
        <v/>
      </c>
      <c r="L27" s="5">
        <f>IF(K27="","",K27*9.81/Pré-medidas!$B$30)</f>
        <v/>
      </c>
      <c r="M27" s="5">
        <f>IF(L27="","",L27*Pré-medidas!$D$18/1000)</f>
        <v/>
      </c>
      <c r="N27" s="5" t="n"/>
    </row>
    <row r="28">
      <c r="A28" s="5" t="n"/>
      <c r="B28" s="5" t="n"/>
      <c r="C28" s="5" t="n"/>
      <c r="D28" s="5" t="n"/>
      <c r="E28" s="5" t="n"/>
      <c r="F28" s="5" t="n"/>
      <c r="G28" s="5">
        <f>IF(COUNT(D28:F28)=0,"",AVERAGE(D28:F28))</f>
        <v/>
      </c>
      <c r="H28" s="5" t="n"/>
      <c r="I28" s="5" t="n"/>
      <c r="J28" s="5" t="n"/>
      <c r="K28" s="5">
        <f>IF(COUNT(H28:J28)=0,"",AVERAGE(H28:J28))</f>
        <v/>
      </c>
      <c r="L28" s="5">
        <f>IF(K28="","",K28*9.81/Pré-medidas!$B$30)</f>
        <v/>
      </c>
      <c r="M28" s="5">
        <f>IF(L28="","",L28*Pré-medidas!$D$18/1000)</f>
        <v/>
      </c>
      <c r="N28" s="5" t="n"/>
    </row>
    <row r="29">
      <c r="A29" s="5" t="n"/>
      <c r="B29" s="5" t="n"/>
      <c r="C29" s="5" t="n"/>
      <c r="D29" s="5" t="n"/>
      <c r="E29" s="5" t="n"/>
      <c r="F29" s="5" t="n"/>
      <c r="G29" s="5">
        <f>IF(COUNT(D29:F29)=0,"",AVERAGE(D29:F29))</f>
        <v/>
      </c>
      <c r="H29" s="5" t="n"/>
      <c r="I29" s="5" t="n"/>
      <c r="J29" s="5" t="n"/>
      <c r="K29" s="5">
        <f>IF(COUNT(H29:J29)=0,"",AVERAGE(H29:J29))</f>
        <v/>
      </c>
      <c r="L29" s="5">
        <f>IF(K29="","",K29*9.81/Pré-medidas!$B$30)</f>
        <v/>
      </c>
      <c r="M29" s="5">
        <f>IF(L29="","",L29*Pré-medidas!$D$18/1000)</f>
        <v/>
      </c>
      <c r="N29" s="5" t="n"/>
    </row>
    <row r="30">
      <c r="A30" s="5" t="n"/>
      <c r="B30" s="5" t="n"/>
      <c r="C30" s="5" t="n"/>
      <c r="D30" s="5" t="n"/>
      <c r="E30" s="5" t="n"/>
      <c r="F30" s="5" t="n"/>
      <c r="G30" s="5">
        <f>IF(COUNT(D30:F30)=0,"",AVERAGE(D30:F30))</f>
        <v/>
      </c>
      <c r="H30" s="5" t="n"/>
      <c r="I30" s="5" t="n"/>
      <c r="J30" s="5" t="n"/>
      <c r="K30" s="5">
        <f>IF(COUNT(H30:J30)=0,"",AVERAGE(H30:J30))</f>
        <v/>
      </c>
      <c r="L30" s="5">
        <f>IF(K30="","",K30*9.81/Pré-medidas!$B$30)</f>
        <v/>
      </c>
      <c r="M30" s="5">
        <f>IF(L30="","",L30*Pré-medidas!$D$18/1000)</f>
        <v/>
      </c>
      <c r="N30" s="5" t="n"/>
    </row>
    <row r="31">
      <c r="A31" s="5" t="n"/>
      <c r="B31" s="5" t="n"/>
      <c r="C31" s="5" t="n"/>
      <c r="D31" s="5" t="n"/>
      <c r="E31" s="5" t="n"/>
      <c r="F31" s="5" t="n"/>
      <c r="G31" s="5">
        <f>IF(COUNT(D31:F31)=0,"",AVERAGE(D31:F31))</f>
        <v/>
      </c>
      <c r="H31" s="5" t="n"/>
      <c r="I31" s="5" t="n"/>
      <c r="J31" s="5" t="n"/>
      <c r="K31" s="5">
        <f>IF(COUNT(H31:J31)=0,"",AVERAGE(H31:J31))</f>
        <v/>
      </c>
      <c r="L31" s="5">
        <f>IF(K31="","",K31*9.81/Pré-medidas!$B$30)</f>
        <v/>
      </c>
      <c r="M31" s="5">
        <f>IF(L31="","",L31*Pré-medidas!$D$18/1000)</f>
        <v/>
      </c>
      <c r="N31" s="5" t="n"/>
    </row>
    <row r="32">
      <c r="A32" s="5" t="n"/>
      <c r="B32" s="5" t="n"/>
      <c r="C32" s="5" t="n"/>
      <c r="D32" s="5" t="n"/>
      <c r="E32" s="5" t="n"/>
      <c r="F32" s="5" t="n"/>
      <c r="G32" s="5">
        <f>IF(COUNT(D32:F32)=0,"",AVERAGE(D32:F32))</f>
        <v/>
      </c>
      <c r="H32" s="5" t="n"/>
      <c r="I32" s="5" t="n"/>
      <c r="J32" s="5" t="n"/>
      <c r="K32" s="5">
        <f>IF(COUNT(H32:J32)=0,"",AVERAGE(H32:J32))</f>
        <v/>
      </c>
      <c r="L32" s="5">
        <f>IF(K32="","",K32*9.81/Pré-medidas!$B$30)</f>
        <v/>
      </c>
      <c r="M32" s="5">
        <f>IF(L32="","",L32*Pré-medidas!$D$18/1000)</f>
        <v/>
      </c>
      <c r="N32" s="5" t="n"/>
    </row>
    <row r="33">
      <c r="A33" s="5" t="n"/>
      <c r="B33" s="5" t="n"/>
      <c r="C33" s="5" t="n"/>
      <c r="D33" s="5" t="n"/>
      <c r="E33" s="5" t="n"/>
      <c r="F33" s="5" t="n"/>
      <c r="G33" s="5">
        <f>IF(COUNT(D33:F33)=0,"",AVERAGE(D33:F33))</f>
        <v/>
      </c>
      <c r="H33" s="5" t="n"/>
      <c r="I33" s="5" t="n"/>
      <c r="J33" s="5" t="n"/>
      <c r="K33" s="5">
        <f>IF(COUNT(H33:J33)=0,"",AVERAGE(H33:J33))</f>
        <v/>
      </c>
      <c r="L33" s="5">
        <f>IF(K33="","",K33*9.81/Pré-medidas!$B$30)</f>
        <v/>
      </c>
      <c r="M33" s="5">
        <f>IF(L33="","",L33*Pré-medidas!$D$18/1000)</f>
        <v/>
      </c>
      <c r="N33" s="5" t="n"/>
    </row>
    <row r="34">
      <c r="A34" s="5" t="n"/>
      <c r="B34" s="5" t="n"/>
      <c r="C34" s="5" t="n"/>
      <c r="D34" s="5" t="n"/>
      <c r="E34" s="5" t="n"/>
      <c r="F34" s="5" t="n"/>
      <c r="G34" s="5">
        <f>IF(COUNT(D34:F34)=0,"",AVERAGE(D34:F34))</f>
        <v/>
      </c>
      <c r="H34" s="5" t="n"/>
      <c r="I34" s="5" t="n"/>
      <c r="J34" s="5" t="n"/>
      <c r="K34" s="5">
        <f>IF(COUNT(H34:J34)=0,"",AVERAGE(H34:J34))</f>
        <v/>
      </c>
      <c r="L34" s="5">
        <f>IF(K34="","",K34*9.81/Pré-medidas!$B$30)</f>
        <v/>
      </c>
      <c r="M34" s="5">
        <f>IF(L34="","",L34*Pré-medidas!$D$18/1000)</f>
        <v/>
      </c>
      <c r="N34" s="5" t="n"/>
    </row>
    <row r="35">
      <c r="A35" s="5" t="n"/>
      <c r="B35" s="5" t="n"/>
      <c r="C35" s="5" t="n"/>
      <c r="D35" s="5" t="n"/>
      <c r="E35" s="5" t="n"/>
      <c r="F35" s="5" t="n"/>
      <c r="G35" s="5">
        <f>IF(COUNT(D35:F35)=0,"",AVERAGE(D35:F35))</f>
        <v/>
      </c>
      <c r="H35" s="5" t="n"/>
      <c r="I35" s="5" t="n"/>
      <c r="J35" s="5" t="n"/>
      <c r="K35" s="5">
        <f>IF(COUNT(H35:J35)=0,"",AVERAGE(H35:J35))</f>
        <v/>
      </c>
      <c r="L35" s="5">
        <f>IF(K35="","",K35*9.81/Pré-medidas!$B$30)</f>
        <v/>
      </c>
      <c r="M35" s="5">
        <f>IF(L35="","",L35*Pré-medidas!$D$18/1000)</f>
        <v/>
      </c>
      <c r="N35" s="5" t="n"/>
    </row>
    <row r="36">
      <c r="A36" s="5" t="n"/>
      <c r="B36" s="5" t="n"/>
      <c r="C36" s="5" t="n"/>
      <c r="D36" s="5" t="n"/>
      <c r="E36" s="5" t="n"/>
      <c r="F36" s="5" t="n"/>
      <c r="G36" s="5">
        <f>IF(COUNT(D36:F36)=0,"",AVERAGE(D36:F36))</f>
        <v/>
      </c>
      <c r="H36" s="5" t="n"/>
      <c r="I36" s="5" t="n"/>
      <c r="J36" s="5" t="n"/>
      <c r="K36" s="5">
        <f>IF(COUNT(H36:J36)=0,"",AVERAGE(H36:J36))</f>
        <v/>
      </c>
      <c r="L36" s="5">
        <f>IF(K36="","",K36*9.81/Pré-medidas!$B$30)</f>
        <v/>
      </c>
      <c r="M36" s="5">
        <f>IF(L36="","",L36*Pré-medidas!$D$18/1000)</f>
        <v/>
      </c>
      <c r="N36" s="5" t="n"/>
    </row>
    <row r="37">
      <c r="A37" s="5" t="n"/>
      <c r="B37" s="5" t="n"/>
      <c r="C37" s="5" t="n"/>
      <c r="D37" s="5" t="n"/>
      <c r="E37" s="5" t="n"/>
      <c r="F37" s="5" t="n"/>
      <c r="G37" s="5">
        <f>IF(COUNT(D37:F37)=0,"",AVERAGE(D37:F37))</f>
        <v/>
      </c>
      <c r="H37" s="5" t="n"/>
      <c r="I37" s="5" t="n"/>
      <c r="J37" s="5" t="n"/>
      <c r="K37" s="5">
        <f>IF(COUNT(H37:J37)=0,"",AVERAGE(H37:J37))</f>
        <v/>
      </c>
      <c r="L37" s="5">
        <f>IF(K37="","",K37*9.81/Pré-medidas!$B$30)</f>
        <v/>
      </c>
      <c r="M37" s="5">
        <f>IF(L37="","",L37*Pré-medidas!$D$18/1000)</f>
        <v/>
      </c>
      <c r="N37" s="5" t="n"/>
    </row>
    <row r="38">
      <c r="A38" s="5" t="n"/>
      <c r="B38" s="5" t="n"/>
      <c r="C38" s="5" t="n"/>
      <c r="D38" s="5" t="n"/>
      <c r="E38" s="5" t="n"/>
      <c r="F38" s="5" t="n"/>
      <c r="G38" s="5">
        <f>IF(COUNT(D38:F38)=0,"",AVERAGE(D38:F38))</f>
        <v/>
      </c>
      <c r="H38" s="5" t="n"/>
      <c r="I38" s="5" t="n"/>
      <c r="J38" s="5" t="n"/>
      <c r="K38" s="5">
        <f>IF(COUNT(H38:J38)=0,"",AVERAGE(H38:J38))</f>
        <v/>
      </c>
      <c r="L38" s="5">
        <f>IF(K38="","",K38*9.81/Pré-medidas!$B$30)</f>
        <v/>
      </c>
      <c r="M38" s="5">
        <f>IF(L38="","",L38*Pré-medidas!$D$18/1000)</f>
        <v/>
      </c>
      <c r="N38" s="5" t="n"/>
    </row>
    <row r="39">
      <c r="A39" s="5" t="n"/>
      <c r="B39" s="5" t="n"/>
      <c r="C39" s="5" t="n"/>
      <c r="D39" s="5" t="n"/>
      <c r="E39" s="5" t="n"/>
      <c r="F39" s="5" t="n"/>
      <c r="G39" s="5">
        <f>IF(COUNT(D39:F39)=0,"",AVERAGE(D39:F39))</f>
        <v/>
      </c>
      <c r="H39" s="5" t="n"/>
      <c r="I39" s="5" t="n"/>
      <c r="J39" s="5" t="n"/>
      <c r="K39" s="5">
        <f>IF(COUNT(H39:J39)=0,"",AVERAGE(H39:J39))</f>
        <v/>
      </c>
      <c r="L39" s="5">
        <f>IF(K39="","",K39*9.81/Pré-medidas!$B$30)</f>
        <v/>
      </c>
      <c r="M39" s="5">
        <f>IF(L39="","",L39*Pré-medidas!$D$18/1000)</f>
        <v/>
      </c>
      <c r="N39" s="5" t="n"/>
    </row>
    <row r="40">
      <c r="A40" s="5" t="n"/>
      <c r="B40" s="5" t="n"/>
      <c r="C40" s="5" t="n"/>
      <c r="D40" s="5" t="n"/>
      <c r="E40" s="5" t="n"/>
      <c r="F40" s="5" t="n"/>
      <c r="G40" s="5">
        <f>IF(COUNT(D40:F40)=0,"",AVERAGE(D40:F40))</f>
        <v/>
      </c>
      <c r="H40" s="5" t="n"/>
      <c r="I40" s="5" t="n"/>
      <c r="J40" s="5" t="n"/>
      <c r="K40" s="5">
        <f>IF(COUNT(H40:J40)=0,"",AVERAGE(H40:J40))</f>
        <v/>
      </c>
      <c r="L40" s="5">
        <f>IF(K40="","",K40*9.81/Pré-medidas!$B$30)</f>
        <v/>
      </c>
      <c r="M40" s="5">
        <f>IF(L40="","",L40*Pré-medidas!$D$18/1000)</f>
        <v/>
      </c>
      <c r="N40" s="5" t="n"/>
    </row>
    <row r="41">
      <c r="A41" s="5" t="n"/>
      <c r="B41" s="5" t="n"/>
      <c r="C41" s="5" t="n"/>
      <c r="D41" s="5" t="n"/>
      <c r="E41" s="5" t="n"/>
      <c r="F41" s="5" t="n"/>
      <c r="G41" s="5">
        <f>IF(COUNT(D41:F41)=0,"",AVERAGE(D41:F41))</f>
        <v/>
      </c>
      <c r="H41" s="5" t="n"/>
      <c r="I41" s="5" t="n"/>
      <c r="J41" s="5" t="n"/>
      <c r="K41" s="5">
        <f>IF(COUNT(H41:J41)=0,"",AVERAGE(H41:J41))</f>
        <v/>
      </c>
      <c r="L41" s="5">
        <f>IF(K41="","",K41*9.81/Pré-medidas!$B$30)</f>
        <v/>
      </c>
      <c r="M41" s="5">
        <f>IF(L41="","",L41*Pré-medidas!$D$18/1000)</f>
        <v/>
      </c>
      <c r="N41" s="5" t="n"/>
    </row>
    <row r="42">
      <c r="A42" s="5" t="n"/>
      <c r="B42" s="5" t="n"/>
      <c r="C42" s="5" t="n"/>
      <c r="D42" s="5" t="n"/>
      <c r="E42" s="5" t="n"/>
      <c r="F42" s="5" t="n"/>
      <c r="G42" s="5">
        <f>IF(COUNT(D42:F42)=0,"",AVERAGE(D42:F42))</f>
        <v/>
      </c>
      <c r="H42" s="5" t="n"/>
      <c r="I42" s="5" t="n"/>
      <c r="J42" s="5" t="n"/>
      <c r="K42" s="5">
        <f>IF(COUNT(H42:J42)=0,"",AVERAGE(H42:J42))</f>
        <v/>
      </c>
      <c r="L42" s="5">
        <f>IF(K42="","",K42*9.81/Pré-medidas!$B$30)</f>
        <v/>
      </c>
      <c r="M42" s="5">
        <f>IF(L42="","",L42*Pré-medidas!$D$18/1000)</f>
        <v/>
      </c>
      <c r="N42" s="5" t="n"/>
    </row>
    <row r="43">
      <c r="A43" s="5" t="n"/>
      <c r="B43" s="5" t="n"/>
      <c r="C43" s="5" t="n"/>
      <c r="D43" s="5" t="n"/>
      <c r="E43" s="5" t="n"/>
      <c r="F43" s="5" t="n"/>
      <c r="G43" s="5">
        <f>IF(COUNT(D43:F43)=0,"",AVERAGE(D43:F43))</f>
        <v/>
      </c>
      <c r="H43" s="5" t="n"/>
      <c r="I43" s="5" t="n"/>
      <c r="J43" s="5" t="n"/>
      <c r="K43" s="5">
        <f>IF(COUNT(H43:J43)=0,"",AVERAGE(H43:J43))</f>
        <v/>
      </c>
      <c r="L43" s="5">
        <f>IF(K43="","",K43*9.81/Pré-medidas!$B$30)</f>
        <v/>
      </c>
      <c r="M43" s="5">
        <f>IF(L43="","",L43*Pré-medidas!$D$18/1000)</f>
        <v/>
      </c>
      <c r="N43" s="5" t="n"/>
    </row>
    <row r="44">
      <c r="A44" s="5" t="n"/>
      <c r="B44" s="5" t="n"/>
      <c r="C44" s="5" t="n"/>
      <c r="D44" s="5" t="n"/>
      <c r="E44" s="5" t="n"/>
      <c r="F44" s="5" t="n"/>
      <c r="G44" s="5">
        <f>IF(COUNT(D44:F44)=0,"",AVERAGE(D44:F44))</f>
        <v/>
      </c>
      <c r="H44" s="5" t="n"/>
      <c r="I44" s="5" t="n"/>
      <c r="J44" s="5" t="n"/>
      <c r="K44" s="5">
        <f>IF(COUNT(H44:J44)=0,"",AVERAGE(H44:J44))</f>
        <v/>
      </c>
      <c r="L44" s="5">
        <f>IF(K44="","",K44*9.81/Pré-medidas!$B$30)</f>
        <v/>
      </c>
      <c r="M44" s="5">
        <f>IF(L44="","",L44*Pré-medidas!$D$18/1000)</f>
        <v/>
      </c>
      <c r="N44" s="5" t="n"/>
    </row>
    <row r="45">
      <c r="A45" s="5" t="n"/>
      <c r="B45" s="5" t="n"/>
      <c r="C45" s="5" t="n"/>
      <c r="D45" s="5" t="n"/>
      <c r="E45" s="5" t="n"/>
      <c r="F45" s="5" t="n"/>
      <c r="G45" s="5">
        <f>IF(COUNT(D45:F45)=0,"",AVERAGE(D45:F45))</f>
        <v/>
      </c>
      <c r="H45" s="5" t="n"/>
      <c r="I45" s="5" t="n"/>
      <c r="J45" s="5" t="n"/>
      <c r="K45" s="5">
        <f>IF(COUNT(H45:J45)=0,"",AVERAGE(H45:J45))</f>
        <v/>
      </c>
      <c r="L45" s="5">
        <f>IF(K45="","",K45*9.81/Pré-medidas!$B$30)</f>
        <v/>
      </c>
      <c r="M45" s="5">
        <f>IF(L45="","",L45*Pré-medidas!$D$18/1000)</f>
        <v/>
      </c>
      <c r="N45" s="5" t="n"/>
    </row>
    <row r="46">
      <c r="A46" s="5" t="n"/>
      <c r="B46" s="5" t="n"/>
      <c r="C46" s="5" t="n"/>
      <c r="D46" s="5" t="n"/>
      <c r="E46" s="5" t="n"/>
      <c r="F46" s="5" t="n"/>
      <c r="G46" s="5">
        <f>IF(COUNT(D46:F46)=0,"",AVERAGE(D46:F46))</f>
        <v/>
      </c>
      <c r="H46" s="5" t="n"/>
      <c r="I46" s="5" t="n"/>
      <c r="J46" s="5" t="n"/>
      <c r="K46" s="5">
        <f>IF(COUNT(H46:J46)=0,"",AVERAGE(H46:J46))</f>
        <v/>
      </c>
      <c r="L46" s="5">
        <f>IF(K46="","",K46*9.81/Pré-medidas!$B$30)</f>
        <v/>
      </c>
      <c r="M46" s="5">
        <f>IF(L46="","",L46*Pré-medidas!$D$18/1000)</f>
        <v/>
      </c>
      <c r="N46" s="5" t="n"/>
    </row>
    <row r="47">
      <c r="A47" s="5" t="n"/>
      <c r="B47" s="5" t="n"/>
      <c r="C47" s="5" t="n"/>
      <c r="D47" s="5" t="n"/>
      <c r="E47" s="5" t="n"/>
      <c r="F47" s="5" t="n"/>
      <c r="G47" s="5">
        <f>IF(COUNT(D47:F47)=0,"",AVERAGE(D47:F47))</f>
        <v/>
      </c>
      <c r="H47" s="5" t="n"/>
      <c r="I47" s="5" t="n"/>
      <c r="J47" s="5" t="n"/>
      <c r="K47" s="5">
        <f>IF(COUNT(H47:J47)=0,"",AVERAGE(H47:J47))</f>
        <v/>
      </c>
      <c r="L47" s="5">
        <f>IF(K47="","",K47*9.81/Pré-medidas!$B$30)</f>
        <v/>
      </c>
      <c r="M47" s="5">
        <f>IF(L47="","",L47*Pré-medidas!$D$18/1000)</f>
        <v/>
      </c>
      <c r="N47" s="5" t="n"/>
    </row>
    <row r="48">
      <c r="A48" s="5" t="n"/>
      <c r="B48" s="5" t="n"/>
      <c r="C48" s="5" t="n"/>
      <c r="D48" s="5" t="n"/>
      <c r="E48" s="5" t="n"/>
      <c r="F48" s="5" t="n"/>
      <c r="G48" s="5">
        <f>IF(COUNT(D48:F48)=0,"",AVERAGE(D48:F48))</f>
        <v/>
      </c>
      <c r="H48" s="5" t="n"/>
      <c r="I48" s="5" t="n"/>
      <c r="J48" s="5" t="n"/>
      <c r="K48" s="5">
        <f>IF(COUNT(H48:J48)=0,"",AVERAGE(H48:J48))</f>
        <v/>
      </c>
      <c r="L48" s="5">
        <f>IF(K48="","",K48*9.81/Pré-medidas!$B$30)</f>
        <v/>
      </c>
      <c r="M48" s="5">
        <f>IF(L48="","",L48*Pré-medidas!$D$18/1000)</f>
        <v/>
      </c>
      <c r="N48" s="5" t="n"/>
    </row>
    <row r="49">
      <c r="A49" s="5" t="n"/>
      <c r="B49" s="5" t="n"/>
      <c r="C49" s="5" t="n"/>
      <c r="D49" s="5" t="n"/>
      <c r="E49" s="5" t="n"/>
      <c r="F49" s="5" t="n"/>
      <c r="G49" s="5">
        <f>IF(COUNT(D49:F49)=0,"",AVERAGE(D49:F49))</f>
        <v/>
      </c>
      <c r="H49" s="5" t="n"/>
      <c r="I49" s="5" t="n"/>
      <c r="J49" s="5" t="n"/>
      <c r="K49" s="5">
        <f>IF(COUNT(H49:J49)=0,"",AVERAGE(H49:J49))</f>
        <v/>
      </c>
      <c r="L49" s="5">
        <f>IF(K49="","",K49*9.81/Pré-medidas!$B$30)</f>
        <v/>
      </c>
      <c r="M49" s="5">
        <f>IF(L49="","",L49*Pré-medidas!$D$18/1000)</f>
        <v/>
      </c>
      <c r="N49" s="5" t="n"/>
    </row>
    <row r="50">
      <c r="A50" s="5" t="n"/>
      <c r="B50" s="5" t="n"/>
      <c r="C50" s="5" t="n"/>
      <c r="D50" s="5" t="n"/>
      <c r="E50" s="5" t="n"/>
      <c r="F50" s="5" t="n"/>
      <c r="G50" s="5">
        <f>IF(COUNT(D50:F50)=0,"",AVERAGE(D50:F50))</f>
        <v/>
      </c>
      <c r="H50" s="5" t="n"/>
      <c r="I50" s="5" t="n"/>
      <c r="J50" s="5" t="n"/>
      <c r="K50" s="5">
        <f>IF(COUNT(H50:J50)=0,"",AVERAGE(H50:J50))</f>
        <v/>
      </c>
      <c r="L50" s="5">
        <f>IF(K50="","",K50*9.81/Pré-medidas!$B$30)</f>
        <v/>
      </c>
      <c r="M50" s="5">
        <f>IF(L50="","",L50*Pré-medidas!$D$18/1000)</f>
        <v/>
      </c>
      <c r="N50" s="5" t="n"/>
    </row>
    <row r="51">
      <c r="A51" s="5" t="n"/>
      <c r="B51" s="5" t="n"/>
      <c r="C51" s="5" t="n"/>
      <c r="D51" s="5" t="n"/>
      <c r="E51" s="5" t="n"/>
      <c r="F51" s="5" t="n"/>
      <c r="G51" s="5">
        <f>IF(COUNT(D51:F51)=0,"",AVERAGE(D51:F51))</f>
        <v/>
      </c>
      <c r="H51" s="5" t="n"/>
      <c r="I51" s="5" t="n"/>
      <c r="J51" s="5" t="n"/>
      <c r="K51" s="5">
        <f>IF(COUNT(H51:J51)=0,"",AVERAGE(H51:J51))</f>
        <v/>
      </c>
      <c r="L51" s="5">
        <f>IF(K51="","",K51*9.81/Pré-medidas!$B$30)</f>
        <v/>
      </c>
      <c r="M51" s="5">
        <f>IF(L51="","",L51*Pré-medidas!$D$18/1000)</f>
        <v/>
      </c>
      <c r="N51" s="5" t="n"/>
    </row>
    <row r="52">
      <c r="A52" s="5" t="n"/>
      <c r="B52" s="5" t="n"/>
      <c r="C52" s="5" t="n"/>
      <c r="D52" s="5" t="n"/>
      <c r="E52" s="5" t="n"/>
      <c r="F52" s="5" t="n"/>
      <c r="G52" s="5">
        <f>IF(COUNT(D52:F52)=0,"",AVERAGE(D52:F52))</f>
        <v/>
      </c>
      <c r="H52" s="5" t="n"/>
      <c r="I52" s="5" t="n"/>
      <c r="J52" s="5" t="n"/>
      <c r="K52" s="5">
        <f>IF(COUNT(H52:J52)=0,"",AVERAGE(H52:J52))</f>
        <v/>
      </c>
      <c r="L52" s="5">
        <f>IF(K52="","",K52*9.81/Pré-medidas!$B$30)</f>
        <v/>
      </c>
      <c r="M52" s="5">
        <f>IF(L52="","",L52*Pré-medidas!$D$18/1000)</f>
        <v/>
      </c>
      <c r="N52" s="5" t="n"/>
    </row>
    <row r="53">
      <c r="A53" s="5" t="n"/>
      <c r="B53" s="5" t="n"/>
      <c r="C53" s="5" t="n"/>
      <c r="D53" s="5" t="n"/>
      <c r="E53" s="5" t="n"/>
      <c r="F53" s="5" t="n"/>
      <c r="G53" s="5">
        <f>IF(COUNT(D53:F53)=0,"",AVERAGE(D53:F53))</f>
        <v/>
      </c>
      <c r="H53" s="5" t="n"/>
      <c r="I53" s="5" t="n"/>
      <c r="J53" s="5" t="n"/>
      <c r="K53" s="5">
        <f>IF(COUNT(H53:J53)=0,"",AVERAGE(H53:J53))</f>
        <v/>
      </c>
      <c r="L53" s="5">
        <f>IF(K53="","",K53*9.81/Pré-medidas!$B$30)</f>
        <v/>
      </c>
      <c r="M53" s="5">
        <f>IF(L53="","",L53*Pré-medidas!$D$18/1000)</f>
        <v/>
      </c>
      <c r="N53" s="5" t="n"/>
    </row>
    <row r="54">
      <c r="A54" s="5" t="n"/>
      <c r="B54" s="5" t="n"/>
      <c r="C54" s="5" t="n"/>
      <c r="D54" s="5" t="n"/>
      <c r="E54" s="5" t="n"/>
      <c r="F54" s="5" t="n"/>
      <c r="G54" s="5">
        <f>IF(COUNT(D54:F54)=0,"",AVERAGE(D54:F54))</f>
        <v/>
      </c>
      <c r="H54" s="5" t="n"/>
      <c r="I54" s="5" t="n"/>
      <c r="J54" s="5" t="n"/>
      <c r="K54" s="5">
        <f>IF(COUNT(H54:J54)=0,"",AVERAGE(H54:J54))</f>
        <v/>
      </c>
      <c r="L54" s="5">
        <f>IF(K54="","",K54*9.81/Pré-medidas!$B$30)</f>
        <v/>
      </c>
      <c r="M54" s="5">
        <f>IF(L54="","",L54*Pré-medidas!$D$18/1000)</f>
        <v/>
      </c>
      <c r="N54" s="5" t="n"/>
    </row>
    <row r="55">
      <c r="A55" s="5" t="n"/>
      <c r="B55" s="5" t="n"/>
      <c r="C55" s="5" t="n"/>
      <c r="D55" s="5" t="n"/>
      <c r="E55" s="5" t="n"/>
      <c r="F55" s="5" t="n"/>
      <c r="G55" s="5">
        <f>IF(COUNT(D55:F55)=0,"",AVERAGE(D55:F55))</f>
        <v/>
      </c>
      <c r="H55" s="5" t="n"/>
      <c r="I55" s="5" t="n"/>
      <c r="J55" s="5" t="n"/>
      <c r="K55" s="5">
        <f>IF(COUNT(H55:J55)=0,"",AVERAGE(H55:J55))</f>
        <v/>
      </c>
      <c r="L55" s="5">
        <f>IF(K55="","",K55*9.81/Pré-medidas!$B$30)</f>
        <v/>
      </c>
      <c r="M55" s="5">
        <f>IF(L55="","",L55*Pré-medidas!$D$18/1000)</f>
        <v/>
      </c>
      <c r="N55" s="5" t="n"/>
    </row>
    <row r="56">
      <c r="A56" s="5" t="n"/>
      <c r="B56" s="5" t="n"/>
      <c r="C56" s="5" t="n"/>
      <c r="D56" s="5" t="n"/>
      <c r="E56" s="5" t="n"/>
      <c r="F56" s="5" t="n"/>
      <c r="G56" s="5">
        <f>IF(COUNT(D56:F56)=0,"",AVERAGE(D56:F56))</f>
        <v/>
      </c>
      <c r="H56" s="5" t="n"/>
      <c r="I56" s="5" t="n"/>
      <c r="J56" s="5" t="n"/>
      <c r="K56" s="5">
        <f>IF(COUNT(H56:J56)=0,"",AVERAGE(H56:J56))</f>
        <v/>
      </c>
      <c r="L56" s="5">
        <f>IF(K56="","",K56*9.81/Pré-medidas!$B$30)</f>
        <v/>
      </c>
      <c r="M56" s="5">
        <f>IF(L56="","",L56*Pré-medidas!$D$18/1000)</f>
        <v/>
      </c>
      <c r="N56" s="5" t="n"/>
    </row>
    <row r="57">
      <c r="A57" s="5" t="n"/>
      <c r="B57" s="5" t="n"/>
      <c r="C57" s="5" t="n"/>
      <c r="D57" s="5" t="n"/>
      <c r="E57" s="5" t="n"/>
      <c r="F57" s="5" t="n"/>
      <c r="G57" s="5">
        <f>IF(COUNT(D57:F57)=0,"",AVERAGE(D57:F57))</f>
        <v/>
      </c>
      <c r="H57" s="5" t="n"/>
      <c r="I57" s="5" t="n"/>
      <c r="J57" s="5" t="n"/>
      <c r="K57" s="5">
        <f>IF(COUNT(H57:J57)=0,"",AVERAGE(H57:J57))</f>
        <v/>
      </c>
      <c r="L57" s="5">
        <f>IF(K57="","",K57*9.81/Pré-medidas!$B$30)</f>
        <v/>
      </c>
      <c r="M57" s="5">
        <f>IF(L57="","",L57*Pré-medidas!$D$18/1000)</f>
        <v/>
      </c>
      <c r="N57" s="5" t="n"/>
    </row>
    <row r="58">
      <c r="A58" s="5" t="n"/>
      <c r="B58" s="5" t="n"/>
      <c r="C58" s="5" t="n"/>
      <c r="D58" s="5" t="n"/>
      <c r="E58" s="5" t="n"/>
      <c r="F58" s="5" t="n"/>
      <c r="G58" s="5">
        <f>IF(COUNT(D58:F58)=0,"",AVERAGE(D58:F58))</f>
        <v/>
      </c>
      <c r="H58" s="5" t="n"/>
      <c r="I58" s="5" t="n"/>
      <c r="J58" s="5" t="n"/>
      <c r="K58" s="5">
        <f>IF(COUNT(H58:J58)=0,"",AVERAGE(H58:J58))</f>
        <v/>
      </c>
      <c r="L58" s="5">
        <f>IF(K58="","",K58*9.81/Pré-medidas!$B$30)</f>
        <v/>
      </c>
      <c r="M58" s="5">
        <f>IF(L58="","",L58*Pré-medidas!$D$18/1000)</f>
        <v/>
      </c>
      <c r="N58" s="5" t="n"/>
    </row>
    <row r="59">
      <c r="A59" s="5" t="n"/>
      <c r="B59" s="5" t="n"/>
      <c r="C59" s="5" t="n"/>
      <c r="D59" s="5" t="n"/>
      <c r="E59" s="5" t="n"/>
      <c r="F59" s="5" t="n"/>
      <c r="G59" s="5">
        <f>IF(COUNT(D59:F59)=0,"",AVERAGE(D59:F59))</f>
        <v/>
      </c>
      <c r="H59" s="5" t="n"/>
      <c r="I59" s="5" t="n"/>
      <c r="J59" s="5" t="n"/>
      <c r="K59" s="5">
        <f>IF(COUNT(H59:J59)=0,"",AVERAGE(H59:J59))</f>
        <v/>
      </c>
      <c r="L59" s="5">
        <f>IF(K59="","",K59*9.81/Pré-medidas!$B$30)</f>
        <v/>
      </c>
      <c r="M59" s="5">
        <f>IF(L59="","",L59*Pré-medidas!$D$18/1000)</f>
        <v/>
      </c>
      <c r="N59" s="5" t="n"/>
    </row>
    <row r="60">
      <c r="A60" s="5" t="n"/>
      <c r="B60" s="5" t="n"/>
      <c r="C60" s="5" t="n"/>
      <c r="D60" s="5" t="n"/>
      <c r="E60" s="5" t="n"/>
      <c r="F60" s="5" t="n"/>
      <c r="G60" s="5">
        <f>IF(COUNT(D60:F60)=0,"",AVERAGE(D60:F60))</f>
        <v/>
      </c>
      <c r="H60" s="5" t="n"/>
      <c r="I60" s="5" t="n"/>
      <c r="J60" s="5" t="n"/>
      <c r="K60" s="5">
        <f>IF(COUNT(H60:J60)=0,"",AVERAGE(H60:J60))</f>
        <v/>
      </c>
      <c r="L60" s="5">
        <f>IF(K60="","",K60*9.81/Pré-medidas!$B$30)</f>
        <v/>
      </c>
      <c r="M60" s="5">
        <f>IF(L60="","",L60*Pré-medidas!$D$18/1000)</f>
        <v/>
      </c>
      <c r="N60" s="5" t="n"/>
    </row>
    <row r="61">
      <c r="A61" s="5" t="n"/>
      <c r="B61" s="5" t="n"/>
      <c r="C61" s="5" t="n"/>
      <c r="D61" s="5" t="n"/>
      <c r="E61" s="5" t="n"/>
      <c r="F61" s="5" t="n"/>
      <c r="G61" s="5">
        <f>IF(COUNT(D61:F61)=0,"",AVERAGE(D61:F61))</f>
        <v/>
      </c>
      <c r="H61" s="5" t="n"/>
      <c r="I61" s="5" t="n"/>
      <c r="J61" s="5" t="n"/>
      <c r="K61" s="5">
        <f>IF(COUNT(H61:J61)=0,"",AVERAGE(H61:J61))</f>
        <v/>
      </c>
      <c r="L61" s="5">
        <f>IF(K61="","",K61*9.81/Pré-medidas!$B$30)</f>
        <v/>
      </c>
      <c r="M61" s="5">
        <f>IF(L61="","",L61*Pré-medidas!$D$18/1000)</f>
        <v/>
      </c>
      <c r="N61" s="5" t="n"/>
    </row>
    <row r="62">
      <c r="A62" s="5" t="n"/>
      <c r="B62" s="5" t="n"/>
      <c r="C62" s="5" t="n"/>
      <c r="D62" s="5" t="n"/>
      <c r="E62" s="5" t="n"/>
      <c r="F62" s="5" t="n"/>
      <c r="G62" s="5">
        <f>IF(COUNT(D62:F62)=0,"",AVERAGE(D62:F62))</f>
        <v/>
      </c>
      <c r="H62" s="5" t="n"/>
      <c r="I62" s="5" t="n"/>
      <c r="J62" s="5" t="n"/>
      <c r="K62" s="5">
        <f>IF(COUNT(H62:J62)=0,"",AVERAGE(H62:J62))</f>
        <v/>
      </c>
      <c r="L62" s="5">
        <f>IF(K62="","",K62*9.81/Pré-medidas!$B$30)</f>
        <v/>
      </c>
      <c r="M62" s="5">
        <f>IF(L62="","",L62*Pré-medidas!$D$18/1000)</f>
        <v/>
      </c>
      <c r="N62" s="5" t="n"/>
    </row>
    <row r="63">
      <c r="A63" s="5" t="n"/>
      <c r="B63" s="5" t="n"/>
      <c r="C63" s="5" t="n"/>
      <c r="D63" s="5" t="n"/>
      <c r="E63" s="5" t="n"/>
      <c r="F63" s="5" t="n"/>
      <c r="G63" s="5">
        <f>IF(COUNT(D63:F63)=0,"",AVERAGE(D63:F63))</f>
        <v/>
      </c>
      <c r="H63" s="5" t="n"/>
      <c r="I63" s="5" t="n"/>
      <c r="J63" s="5" t="n"/>
      <c r="K63" s="5">
        <f>IF(COUNT(H63:J63)=0,"",AVERAGE(H63:J63))</f>
        <v/>
      </c>
      <c r="L63" s="5">
        <f>IF(K63="","",K63*9.81/Pré-medidas!$B$30)</f>
        <v/>
      </c>
      <c r="M63" s="5">
        <f>IF(L63="","",L63*Pré-medidas!$D$18/1000)</f>
        <v/>
      </c>
      <c r="N63" s="5" t="n"/>
    </row>
    <row r="64">
      <c r="A64" s="5" t="n"/>
      <c r="B64" s="5" t="n"/>
      <c r="C64" s="5" t="n"/>
      <c r="D64" s="5" t="n"/>
      <c r="E64" s="5" t="n"/>
      <c r="F64" s="5" t="n"/>
      <c r="G64" s="5">
        <f>IF(COUNT(D64:F64)=0,"",AVERAGE(D64:F64))</f>
        <v/>
      </c>
      <c r="H64" s="5" t="n"/>
      <c r="I64" s="5" t="n"/>
      <c r="J64" s="5" t="n"/>
      <c r="K64" s="5">
        <f>IF(COUNT(H64:J64)=0,"",AVERAGE(H64:J64))</f>
        <v/>
      </c>
      <c r="L64" s="5">
        <f>IF(K64="","",K64*9.81/Pré-medidas!$B$30)</f>
        <v/>
      </c>
      <c r="M64" s="5">
        <f>IF(L64="","",L64*Pré-medidas!$D$18/1000)</f>
        <v/>
      </c>
      <c r="N64" s="5" t="n"/>
    </row>
    <row r="65">
      <c r="A65" s="5" t="n"/>
      <c r="B65" s="5" t="n"/>
      <c r="C65" s="5" t="n"/>
      <c r="D65" s="5" t="n"/>
      <c r="E65" s="5" t="n"/>
      <c r="F65" s="5" t="n"/>
      <c r="G65" s="5">
        <f>IF(COUNT(D65:F65)=0,"",AVERAGE(D65:F65))</f>
        <v/>
      </c>
      <c r="H65" s="5" t="n"/>
      <c r="I65" s="5" t="n"/>
      <c r="J65" s="5" t="n"/>
      <c r="K65" s="5">
        <f>IF(COUNT(H65:J65)=0,"",AVERAGE(H65:J65))</f>
        <v/>
      </c>
      <c r="L65" s="5">
        <f>IF(K65="","",K65*9.81/Pré-medidas!$B$30)</f>
        <v/>
      </c>
      <c r="M65" s="5">
        <f>IF(L65="","",L65*Pré-medidas!$D$18/1000)</f>
        <v/>
      </c>
      <c r="N65" s="5" t="n"/>
    </row>
    <row r="66">
      <c r="A66" s="5" t="n"/>
      <c r="B66" s="5" t="n"/>
      <c r="C66" s="5" t="n"/>
      <c r="D66" s="5" t="n"/>
      <c r="E66" s="5" t="n"/>
      <c r="F66" s="5" t="n"/>
      <c r="G66" s="5">
        <f>IF(COUNT(D66:F66)=0,"",AVERAGE(D66:F66))</f>
        <v/>
      </c>
      <c r="H66" s="5" t="n"/>
      <c r="I66" s="5" t="n"/>
      <c r="J66" s="5" t="n"/>
      <c r="K66" s="5">
        <f>IF(COUNT(H66:J66)=0,"",AVERAGE(H66:J66))</f>
        <v/>
      </c>
      <c r="L66" s="5">
        <f>IF(K66="","",K66*9.81/Pré-medidas!$B$30)</f>
        <v/>
      </c>
      <c r="M66" s="5">
        <f>IF(L66="","",L66*Pré-medidas!$D$18/1000)</f>
        <v/>
      </c>
      <c r="N66" s="5" t="n"/>
    </row>
    <row r="67">
      <c r="A67" s="5" t="n"/>
      <c r="B67" s="5" t="n"/>
      <c r="C67" s="5" t="n"/>
      <c r="D67" s="5" t="n"/>
      <c r="E67" s="5" t="n"/>
      <c r="F67" s="5" t="n"/>
      <c r="G67" s="5">
        <f>IF(COUNT(D67:F67)=0,"",AVERAGE(D67:F67))</f>
        <v/>
      </c>
      <c r="H67" s="5" t="n"/>
      <c r="I67" s="5" t="n"/>
      <c r="J67" s="5" t="n"/>
      <c r="K67" s="5">
        <f>IF(COUNT(H67:J67)=0,"",AVERAGE(H67:J67))</f>
        <v/>
      </c>
      <c r="L67" s="5">
        <f>IF(K67="","",K67*9.81/Pré-medidas!$B$30)</f>
        <v/>
      </c>
      <c r="M67" s="5">
        <f>IF(L67="","",L67*Pré-medidas!$D$18/1000)</f>
        <v/>
      </c>
      <c r="N67" s="5" t="n"/>
    </row>
    <row r="68">
      <c r="A68" s="5" t="n"/>
      <c r="B68" s="5" t="n"/>
      <c r="C68" s="5" t="n"/>
      <c r="D68" s="5" t="n"/>
      <c r="E68" s="5" t="n"/>
      <c r="F68" s="5" t="n"/>
      <c r="G68" s="5">
        <f>IF(COUNT(D68:F68)=0,"",AVERAGE(D68:F68))</f>
        <v/>
      </c>
      <c r="H68" s="5" t="n"/>
      <c r="I68" s="5" t="n"/>
      <c r="J68" s="5" t="n"/>
      <c r="K68" s="5">
        <f>IF(COUNT(H68:J68)=0,"",AVERAGE(H68:J68))</f>
        <v/>
      </c>
      <c r="L68" s="5">
        <f>IF(K68="","",K68*9.81/Pré-medidas!$B$30)</f>
        <v/>
      </c>
      <c r="M68" s="5">
        <f>IF(L68="","",L68*Pré-medidas!$D$18/1000)</f>
        <v/>
      </c>
      <c r="N68" s="5" t="n"/>
    </row>
    <row r="69">
      <c r="A69" s="5" t="n"/>
      <c r="B69" s="5" t="n"/>
      <c r="C69" s="5" t="n"/>
      <c r="D69" s="5" t="n"/>
      <c r="E69" s="5" t="n"/>
      <c r="F69" s="5" t="n"/>
      <c r="G69" s="5">
        <f>IF(COUNT(D69:F69)=0,"",AVERAGE(D69:F69))</f>
        <v/>
      </c>
      <c r="H69" s="5" t="n"/>
      <c r="I69" s="5" t="n"/>
      <c r="J69" s="5" t="n"/>
      <c r="K69" s="5">
        <f>IF(COUNT(H69:J69)=0,"",AVERAGE(H69:J69))</f>
        <v/>
      </c>
      <c r="L69" s="5">
        <f>IF(K69="","",K69*9.81/Pré-medidas!$B$30)</f>
        <v/>
      </c>
      <c r="M69" s="5">
        <f>IF(L69="","",L69*Pré-medidas!$D$18/1000)</f>
        <v/>
      </c>
      <c r="N69" s="5" t="n"/>
    </row>
    <row r="70">
      <c r="A70" s="5" t="n"/>
      <c r="B70" s="5" t="n"/>
      <c r="C70" s="5" t="n"/>
      <c r="D70" s="5" t="n"/>
      <c r="E70" s="5" t="n"/>
      <c r="F70" s="5" t="n"/>
      <c r="G70" s="5">
        <f>IF(COUNT(D70:F70)=0,"",AVERAGE(D70:F70))</f>
        <v/>
      </c>
      <c r="H70" s="5" t="n"/>
      <c r="I70" s="5" t="n"/>
      <c r="J70" s="5" t="n"/>
      <c r="K70" s="5">
        <f>IF(COUNT(H70:J70)=0,"",AVERAGE(H70:J70))</f>
        <v/>
      </c>
      <c r="L70" s="5">
        <f>IF(K70="","",K70*9.81/Pré-medidas!$B$30)</f>
        <v/>
      </c>
      <c r="M70" s="5">
        <f>IF(L70="","",L70*Pré-medidas!$D$18/1000)</f>
        <v/>
      </c>
      <c r="N70" s="5" t="n"/>
    </row>
    <row r="71">
      <c r="A71" s="5" t="n"/>
      <c r="B71" s="5" t="n"/>
      <c r="C71" s="5" t="n"/>
      <c r="D71" s="5" t="n"/>
      <c r="E71" s="5" t="n"/>
      <c r="F71" s="5" t="n"/>
      <c r="G71" s="5">
        <f>IF(COUNT(D71:F71)=0,"",AVERAGE(D71:F71))</f>
        <v/>
      </c>
      <c r="H71" s="5" t="n"/>
      <c r="I71" s="5" t="n"/>
      <c r="J71" s="5" t="n"/>
      <c r="K71" s="5">
        <f>IF(COUNT(H71:J71)=0,"",AVERAGE(H71:J71))</f>
        <v/>
      </c>
      <c r="L71" s="5">
        <f>IF(K71="","",K71*9.81/Pré-medidas!$B$30)</f>
        <v/>
      </c>
      <c r="M71" s="5">
        <f>IF(L71="","",L71*Pré-medidas!$D$18/1000)</f>
        <v/>
      </c>
      <c r="N71" s="5" t="n"/>
    </row>
    <row r="72">
      <c r="A72" s="5" t="n"/>
      <c r="B72" s="5" t="n"/>
      <c r="C72" s="5" t="n"/>
      <c r="D72" s="5" t="n"/>
      <c r="E72" s="5" t="n"/>
      <c r="F72" s="5" t="n"/>
      <c r="G72" s="5">
        <f>IF(COUNT(D72:F72)=0,"",AVERAGE(D72:F72))</f>
        <v/>
      </c>
      <c r="H72" s="5" t="n"/>
      <c r="I72" s="5" t="n"/>
      <c r="J72" s="5" t="n"/>
      <c r="K72" s="5">
        <f>IF(COUNT(H72:J72)=0,"",AVERAGE(H72:J72))</f>
        <v/>
      </c>
      <c r="L72" s="5">
        <f>IF(K72="","",K72*9.81/Pré-medidas!$B$30)</f>
        <v/>
      </c>
      <c r="M72" s="5">
        <f>IF(L72="","",L72*Pré-medidas!$D$18/1000)</f>
        <v/>
      </c>
      <c r="N72" s="5" t="n"/>
    </row>
    <row r="73">
      <c r="A73" s="5" t="n"/>
      <c r="B73" s="5" t="n"/>
      <c r="C73" s="5" t="n"/>
      <c r="D73" s="5" t="n"/>
      <c r="E73" s="5" t="n"/>
      <c r="F73" s="5" t="n"/>
      <c r="G73" s="5">
        <f>IF(COUNT(D73:F73)=0,"",AVERAGE(D73:F73))</f>
        <v/>
      </c>
      <c r="H73" s="5" t="n"/>
      <c r="I73" s="5" t="n"/>
      <c r="J73" s="5" t="n"/>
      <c r="K73" s="5">
        <f>IF(COUNT(H73:J73)=0,"",AVERAGE(H73:J73))</f>
        <v/>
      </c>
      <c r="L73" s="5">
        <f>IF(K73="","",K73*9.81/Pré-medidas!$B$30)</f>
        <v/>
      </c>
      <c r="M73" s="5">
        <f>IF(L73="","",L73*Pré-medidas!$D$18/1000)</f>
        <v/>
      </c>
      <c r="N73" s="5" t="n"/>
    </row>
    <row r="74">
      <c r="A74" s="5" t="n"/>
      <c r="B74" s="5" t="n"/>
      <c r="C74" s="5" t="n"/>
      <c r="D74" s="5" t="n"/>
      <c r="E74" s="5" t="n"/>
      <c r="F74" s="5" t="n"/>
      <c r="G74" s="5">
        <f>IF(COUNT(D74:F74)=0,"",AVERAGE(D74:F74))</f>
        <v/>
      </c>
      <c r="H74" s="5" t="n"/>
      <c r="I74" s="5" t="n"/>
      <c r="J74" s="5" t="n"/>
      <c r="K74" s="5">
        <f>IF(COUNT(H74:J74)=0,"",AVERAGE(H74:J74))</f>
        <v/>
      </c>
      <c r="L74" s="5">
        <f>IF(K74="","",K74*9.81/Pré-medidas!$B$30)</f>
        <v/>
      </c>
      <c r="M74" s="5">
        <f>IF(L74="","",L74*Pré-medidas!$D$18/1000)</f>
        <v/>
      </c>
      <c r="N74" s="5" t="n"/>
    </row>
    <row r="75">
      <c r="A75" s="5" t="n"/>
      <c r="B75" s="5" t="n"/>
      <c r="C75" s="5" t="n"/>
      <c r="D75" s="5" t="n"/>
      <c r="E75" s="5" t="n"/>
      <c r="F75" s="5" t="n"/>
      <c r="G75" s="5">
        <f>IF(COUNT(D75:F75)=0,"",AVERAGE(D75:F75))</f>
        <v/>
      </c>
      <c r="H75" s="5" t="n"/>
      <c r="I75" s="5" t="n"/>
      <c r="J75" s="5" t="n"/>
      <c r="K75" s="5">
        <f>IF(COUNT(H75:J75)=0,"",AVERAGE(H75:J75))</f>
        <v/>
      </c>
      <c r="L75" s="5">
        <f>IF(K75="","",K75*9.81/Pré-medidas!$B$30)</f>
        <v/>
      </c>
      <c r="M75" s="5">
        <f>IF(L75="","",L75*Pré-medidas!$D$18/1000)</f>
        <v/>
      </c>
      <c r="N75" s="5" t="n"/>
    </row>
    <row r="76">
      <c r="A76" s="5" t="n"/>
      <c r="B76" s="5" t="n"/>
      <c r="C76" s="5" t="n"/>
      <c r="D76" s="5" t="n"/>
      <c r="E76" s="5" t="n"/>
      <c r="F76" s="5" t="n"/>
      <c r="G76" s="5">
        <f>IF(COUNT(D76:F76)=0,"",AVERAGE(D76:F76))</f>
        <v/>
      </c>
      <c r="H76" s="5" t="n"/>
      <c r="I76" s="5" t="n"/>
      <c r="J76" s="5" t="n"/>
      <c r="K76" s="5">
        <f>IF(COUNT(H76:J76)=0,"",AVERAGE(H76:J76))</f>
        <v/>
      </c>
      <c r="L76" s="5">
        <f>IF(K76="","",K76*9.81/Pré-medidas!$B$30)</f>
        <v/>
      </c>
      <c r="M76" s="5">
        <f>IF(L76="","",L76*Pré-medidas!$D$18/1000)</f>
        <v/>
      </c>
      <c r="N76" s="5" t="n"/>
    </row>
    <row r="77">
      <c r="A77" s="5" t="n"/>
      <c r="B77" s="5" t="n"/>
      <c r="C77" s="5" t="n"/>
      <c r="D77" s="5" t="n"/>
      <c r="E77" s="5" t="n"/>
      <c r="F77" s="5" t="n"/>
      <c r="G77" s="5">
        <f>IF(COUNT(D77:F77)=0,"",AVERAGE(D77:F77))</f>
        <v/>
      </c>
      <c r="H77" s="5" t="n"/>
      <c r="I77" s="5" t="n"/>
      <c r="J77" s="5" t="n"/>
      <c r="K77" s="5">
        <f>IF(COUNT(H77:J77)=0,"",AVERAGE(H77:J77))</f>
        <v/>
      </c>
      <c r="L77" s="5">
        <f>IF(K77="","",K77*9.81/Pré-medidas!$B$30)</f>
        <v/>
      </c>
      <c r="M77" s="5">
        <f>IF(L77="","",L77*Pré-medidas!$D$18/1000)</f>
        <v/>
      </c>
      <c r="N77" s="5" t="n"/>
    </row>
    <row r="78">
      <c r="A78" s="5" t="n"/>
      <c r="B78" s="5" t="n"/>
      <c r="C78" s="5" t="n"/>
      <c r="D78" s="5" t="n"/>
      <c r="E78" s="5" t="n"/>
      <c r="F78" s="5" t="n"/>
      <c r="G78" s="5">
        <f>IF(COUNT(D78:F78)=0,"",AVERAGE(D78:F78))</f>
        <v/>
      </c>
      <c r="H78" s="5" t="n"/>
      <c r="I78" s="5" t="n"/>
      <c r="J78" s="5" t="n"/>
      <c r="K78" s="5">
        <f>IF(COUNT(H78:J78)=0,"",AVERAGE(H78:J78))</f>
        <v/>
      </c>
      <c r="L78" s="5">
        <f>IF(K78="","",K78*9.81/Pré-medidas!$B$30)</f>
        <v/>
      </c>
      <c r="M78" s="5">
        <f>IF(L78="","",L78*Pré-medidas!$D$18/1000)</f>
        <v/>
      </c>
      <c r="N78" s="5" t="n"/>
    </row>
    <row r="79">
      <c r="A79" s="5" t="n"/>
      <c r="B79" s="5" t="n"/>
      <c r="C79" s="5" t="n"/>
      <c r="D79" s="5" t="n"/>
      <c r="E79" s="5" t="n"/>
      <c r="F79" s="5" t="n"/>
      <c r="G79" s="5">
        <f>IF(COUNT(D79:F79)=0,"",AVERAGE(D79:F79))</f>
        <v/>
      </c>
      <c r="H79" s="5" t="n"/>
      <c r="I79" s="5" t="n"/>
      <c r="J79" s="5" t="n"/>
      <c r="K79" s="5">
        <f>IF(COUNT(H79:J79)=0,"",AVERAGE(H79:J79))</f>
        <v/>
      </c>
      <c r="L79" s="5">
        <f>IF(K79="","",K79*9.81/Pré-medidas!$B$30)</f>
        <v/>
      </c>
      <c r="M79" s="5">
        <f>IF(L79="","",L79*Pré-medidas!$D$18/1000)</f>
        <v/>
      </c>
      <c r="N79" s="5" t="n"/>
    </row>
    <row r="80">
      <c r="A80" s="5" t="n"/>
      <c r="B80" s="5" t="n"/>
      <c r="C80" s="5" t="n"/>
      <c r="D80" s="5" t="n"/>
      <c r="E80" s="5" t="n"/>
      <c r="F80" s="5" t="n"/>
      <c r="G80" s="5">
        <f>IF(COUNT(D80:F80)=0,"",AVERAGE(D80:F80))</f>
        <v/>
      </c>
      <c r="H80" s="5" t="n"/>
      <c r="I80" s="5" t="n"/>
      <c r="J80" s="5" t="n"/>
      <c r="K80" s="5">
        <f>IF(COUNT(H80:J80)=0,"",AVERAGE(H80:J80))</f>
        <v/>
      </c>
      <c r="L80" s="5">
        <f>IF(K80="","",K80*9.81/Pré-medidas!$B$30)</f>
        <v/>
      </c>
      <c r="M80" s="5">
        <f>IF(L80="","",L80*Pré-medidas!$D$18/1000)</f>
        <v/>
      </c>
      <c r="N80" s="5" t="n"/>
    </row>
    <row r="81">
      <c r="A81" s="5" t="n"/>
      <c r="B81" s="5" t="n"/>
      <c r="C81" s="5" t="n"/>
      <c r="D81" s="5" t="n"/>
      <c r="E81" s="5" t="n"/>
      <c r="F81" s="5" t="n"/>
      <c r="G81" s="5">
        <f>IF(COUNT(D81:F81)=0,"",AVERAGE(D81:F81))</f>
        <v/>
      </c>
      <c r="H81" s="5" t="n"/>
      <c r="I81" s="5" t="n"/>
      <c r="J81" s="5" t="n"/>
      <c r="K81" s="5">
        <f>IF(COUNT(H81:J81)=0,"",AVERAGE(H81:J81))</f>
        <v/>
      </c>
      <c r="L81" s="5">
        <f>IF(K81="","",K81*9.81/Pré-medidas!$B$30)</f>
        <v/>
      </c>
      <c r="M81" s="5">
        <f>IF(L81="","",L81*Pré-medidas!$D$18/1000)</f>
        <v/>
      </c>
      <c r="N81" s="5" t="n"/>
    </row>
    <row r="82">
      <c r="A82" s="5" t="n"/>
      <c r="B82" s="5" t="n"/>
      <c r="C82" s="5" t="n"/>
      <c r="D82" s="5" t="n"/>
      <c r="E82" s="5" t="n"/>
      <c r="F82" s="5" t="n"/>
      <c r="G82" s="5">
        <f>IF(COUNT(D82:F82)=0,"",AVERAGE(D82:F82))</f>
        <v/>
      </c>
      <c r="H82" s="5" t="n"/>
      <c r="I82" s="5" t="n"/>
      <c r="J82" s="5" t="n"/>
      <c r="K82" s="5">
        <f>IF(COUNT(H82:J82)=0,"",AVERAGE(H82:J82))</f>
        <v/>
      </c>
      <c r="L82" s="5">
        <f>IF(K82="","",K82*9.81/Pré-medidas!$B$30)</f>
        <v/>
      </c>
      <c r="M82" s="5">
        <f>IF(L82="","",L82*Pré-medidas!$D$18/1000)</f>
        <v/>
      </c>
      <c r="N82" s="5" t="n"/>
    </row>
    <row r="83">
      <c r="A83" s="5" t="n"/>
      <c r="B83" s="5" t="n"/>
      <c r="C83" s="5" t="n"/>
      <c r="D83" s="5" t="n"/>
      <c r="E83" s="5" t="n"/>
      <c r="F83" s="5" t="n"/>
      <c r="G83" s="5">
        <f>IF(COUNT(D83:F83)=0,"",AVERAGE(D83:F83))</f>
        <v/>
      </c>
      <c r="H83" s="5" t="n"/>
      <c r="I83" s="5" t="n"/>
      <c r="J83" s="5" t="n"/>
      <c r="K83" s="5">
        <f>IF(COUNT(H83:J83)=0,"",AVERAGE(H83:J83))</f>
        <v/>
      </c>
      <c r="L83" s="5">
        <f>IF(K83="","",K83*9.81/Pré-medidas!$B$30)</f>
        <v/>
      </c>
      <c r="M83" s="5">
        <f>IF(L83="","",L83*Pré-medidas!$D$18/1000)</f>
        <v/>
      </c>
      <c r="N83" s="5" t="n"/>
    </row>
    <row r="84">
      <c r="A84" s="5" t="n"/>
      <c r="B84" s="5" t="n"/>
      <c r="C84" s="5" t="n"/>
      <c r="D84" s="5" t="n"/>
      <c r="E84" s="5" t="n"/>
      <c r="F84" s="5" t="n"/>
      <c r="G84" s="5">
        <f>IF(COUNT(D84:F84)=0,"",AVERAGE(D84:F84))</f>
        <v/>
      </c>
      <c r="H84" s="5" t="n"/>
      <c r="I84" s="5" t="n"/>
      <c r="J84" s="5" t="n"/>
      <c r="K84" s="5">
        <f>IF(COUNT(H84:J84)=0,"",AVERAGE(H84:J84))</f>
        <v/>
      </c>
      <c r="L84" s="5">
        <f>IF(K84="","",K84*9.81/Pré-medidas!$B$30)</f>
        <v/>
      </c>
      <c r="M84" s="5">
        <f>IF(L84="","",L84*Pré-medidas!$D$18/1000)</f>
        <v/>
      </c>
      <c r="N84" s="5" t="n"/>
    </row>
    <row r="85">
      <c r="A85" s="5" t="n"/>
      <c r="B85" s="5" t="n"/>
      <c r="C85" s="5" t="n"/>
      <c r="D85" s="5" t="n"/>
      <c r="E85" s="5" t="n"/>
      <c r="F85" s="5" t="n"/>
      <c r="G85" s="5">
        <f>IF(COUNT(D85:F85)=0,"",AVERAGE(D85:F85))</f>
        <v/>
      </c>
      <c r="H85" s="5" t="n"/>
      <c r="I85" s="5" t="n"/>
      <c r="J85" s="5" t="n"/>
      <c r="K85" s="5">
        <f>IF(COUNT(H85:J85)=0,"",AVERAGE(H85:J85))</f>
        <v/>
      </c>
      <c r="L85" s="5">
        <f>IF(K85="","",K85*9.81/Pré-medidas!$B$30)</f>
        <v/>
      </c>
      <c r="M85" s="5">
        <f>IF(L85="","",L85*Pré-medidas!$D$18/1000)</f>
        <v/>
      </c>
      <c r="N85" s="5" t="n"/>
    </row>
    <row r="86">
      <c r="A86" s="5" t="n"/>
      <c r="B86" s="5" t="n"/>
      <c r="C86" s="5" t="n"/>
      <c r="D86" s="5" t="n"/>
      <c r="E86" s="5" t="n"/>
      <c r="F86" s="5" t="n"/>
      <c r="G86" s="5">
        <f>IF(COUNT(D86:F86)=0,"",AVERAGE(D86:F86))</f>
        <v/>
      </c>
      <c r="H86" s="5" t="n"/>
      <c r="I86" s="5" t="n"/>
      <c r="J86" s="5" t="n"/>
      <c r="K86" s="5">
        <f>IF(COUNT(H86:J86)=0,"",AVERAGE(H86:J86))</f>
        <v/>
      </c>
      <c r="L86" s="5">
        <f>IF(K86="","",K86*9.81/Pré-medidas!$B$30)</f>
        <v/>
      </c>
      <c r="M86" s="5">
        <f>IF(L86="","",L86*Pré-medidas!$D$18/1000)</f>
        <v/>
      </c>
      <c r="N86" s="5" t="n"/>
    </row>
    <row r="87">
      <c r="A87" s="5" t="n"/>
      <c r="B87" s="5" t="n"/>
      <c r="C87" s="5" t="n"/>
      <c r="D87" s="5" t="n"/>
      <c r="E87" s="5" t="n"/>
      <c r="F87" s="5" t="n"/>
      <c r="G87" s="5">
        <f>IF(COUNT(D87:F87)=0,"",AVERAGE(D87:F87))</f>
        <v/>
      </c>
      <c r="H87" s="5" t="n"/>
      <c r="I87" s="5" t="n"/>
      <c r="J87" s="5" t="n"/>
      <c r="K87" s="5">
        <f>IF(COUNT(H87:J87)=0,"",AVERAGE(H87:J87))</f>
        <v/>
      </c>
      <c r="L87" s="5">
        <f>IF(K87="","",K87*9.81/Pré-medidas!$B$30)</f>
        <v/>
      </c>
      <c r="M87" s="5">
        <f>IF(L87="","",L87*Pré-medidas!$D$18/1000)</f>
        <v/>
      </c>
      <c r="N87" s="5" t="n"/>
    </row>
    <row r="88">
      <c r="A88" s="5" t="n"/>
      <c r="B88" s="5" t="n"/>
      <c r="C88" s="5" t="n"/>
      <c r="D88" s="5" t="n"/>
      <c r="E88" s="5" t="n"/>
      <c r="F88" s="5" t="n"/>
      <c r="G88" s="5">
        <f>IF(COUNT(D88:F88)=0,"",AVERAGE(D88:F88))</f>
        <v/>
      </c>
      <c r="H88" s="5" t="n"/>
      <c r="I88" s="5" t="n"/>
      <c r="J88" s="5" t="n"/>
      <c r="K88" s="5">
        <f>IF(COUNT(H88:J88)=0,"",AVERAGE(H88:J88))</f>
        <v/>
      </c>
      <c r="L88" s="5">
        <f>IF(K88="","",K88*9.81/Pré-medidas!$B$30)</f>
        <v/>
      </c>
      <c r="M88" s="5">
        <f>IF(L88="","",L88*Pré-medidas!$D$18/1000)</f>
        <v/>
      </c>
      <c r="N88" s="5" t="n"/>
    </row>
    <row r="89">
      <c r="A89" s="5" t="n"/>
      <c r="B89" s="5" t="n"/>
      <c r="C89" s="5" t="n"/>
      <c r="D89" s="5" t="n"/>
      <c r="E89" s="5" t="n"/>
      <c r="F89" s="5" t="n"/>
      <c r="G89" s="5">
        <f>IF(COUNT(D89:F89)=0,"",AVERAGE(D89:F89))</f>
        <v/>
      </c>
      <c r="H89" s="5" t="n"/>
      <c r="I89" s="5" t="n"/>
      <c r="J89" s="5" t="n"/>
      <c r="K89" s="5">
        <f>IF(COUNT(H89:J89)=0,"",AVERAGE(H89:J89))</f>
        <v/>
      </c>
      <c r="L89" s="5">
        <f>IF(K89="","",K89*9.81/Pré-medidas!$B$30)</f>
        <v/>
      </c>
      <c r="M89" s="5">
        <f>IF(L89="","",L89*Pré-medidas!$D$18/1000)</f>
        <v/>
      </c>
      <c r="N89" s="5" t="n"/>
    </row>
    <row r="90">
      <c r="A90" s="5" t="n"/>
      <c r="B90" s="5" t="n"/>
      <c r="C90" s="5" t="n"/>
      <c r="D90" s="5" t="n"/>
      <c r="E90" s="5" t="n"/>
      <c r="F90" s="5" t="n"/>
      <c r="G90" s="5">
        <f>IF(COUNT(D90:F90)=0,"",AVERAGE(D90:F90))</f>
        <v/>
      </c>
      <c r="H90" s="5" t="n"/>
      <c r="I90" s="5" t="n"/>
      <c r="J90" s="5" t="n"/>
      <c r="K90" s="5">
        <f>IF(COUNT(H90:J90)=0,"",AVERAGE(H90:J90))</f>
        <v/>
      </c>
      <c r="L90" s="5">
        <f>IF(K90="","",K90*9.81/Pré-medidas!$B$30)</f>
        <v/>
      </c>
      <c r="M90" s="5">
        <f>IF(L90="","",L90*Pré-medidas!$D$18/1000)</f>
        <v/>
      </c>
      <c r="N90" s="5" t="n"/>
    </row>
    <row r="91">
      <c r="A91" s="5" t="n"/>
      <c r="B91" s="5" t="n"/>
      <c r="C91" s="5" t="n"/>
      <c r="D91" s="5" t="n"/>
      <c r="E91" s="5" t="n"/>
      <c r="F91" s="5" t="n"/>
      <c r="G91" s="5">
        <f>IF(COUNT(D91:F91)=0,"",AVERAGE(D91:F91))</f>
        <v/>
      </c>
      <c r="H91" s="5" t="n"/>
      <c r="I91" s="5" t="n"/>
      <c r="J91" s="5" t="n"/>
      <c r="K91" s="5">
        <f>IF(COUNT(H91:J91)=0,"",AVERAGE(H91:J91))</f>
        <v/>
      </c>
      <c r="L91" s="5">
        <f>IF(K91="","",K91*9.81/Pré-medidas!$B$30)</f>
        <v/>
      </c>
      <c r="M91" s="5">
        <f>IF(L91="","",L91*Pré-medidas!$D$18/1000)</f>
        <v/>
      </c>
      <c r="N91" s="5" t="n"/>
    </row>
    <row r="92">
      <c r="A92" s="5" t="n"/>
      <c r="B92" s="5" t="n"/>
      <c r="C92" s="5" t="n"/>
      <c r="D92" s="5" t="n"/>
      <c r="E92" s="5" t="n"/>
      <c r="F92" s="5" t="n"/>
      <c r="G92" s="5">
        <f>IF(COUNT(D92:F92)=0,"",AVERAGE(D92:F92))</f>
        <v/>
      </c>
      <c r="H92" s="5" t="n"/>
      <c r="I92" s="5" t="n"/>
      <c r="J92" s="5" t="n"/>
      <c r="K92" s="5">
        <f>IF(COUNT(H92:J92)=0,"",AVERAGE(H92:J92))</f>
        <v/>
      </c>
      <c r="L92" s="5">
        <f>IF(K92="","",K92*9.81/Pré-medidas!$B$30)</f>
        <v/>
      </c>
      <c r="M92" s="5">
        <f>IF(L92="","",L92*Pré-medidas!$D$18/1000)</f>
        <v/>
      </c>
      <c r="N92" s="5" t="n"/>
    </row>
    <row r="93">
      <c r="A93" s="5" t="n"/>
      <c r="B93" s="5" t="n"/>
      <c r="C93" s="5" t="n"/>
      <c r="D93" s="5" t="n"/>
      <c r="E93" s="5" t="n"/>
      <c r="F93" s="5" t="n"/>
      <c r="G93" s="5">
        <f>IF(COUNT(D93:F93)=0,"",AVERAGE(D93:F93))</f>
        <v/>
      </c>
      <c r="H93" s="5" t="n"/>
      <c r="I93" s="5" t="n"/>
      <c r="J93" s="5" t="n"/>
      <c r="K93" s="5">
        <f>IF(COUNT(H93:J93)=0,"",AVERAGE(H93:J93))</f>
        <v/>
      </c>
      <c r="L93" s="5">
        <f>IF(K93="","",K93*9.81/Pré-medidas!$B$30)</f>
        <v/>
      </c>
      <c r="M93" s="5">
        <f>IF(L93="","",L93*Pré-medidas!$D$18/1000)</f>
        <v/>
      </c>
      <c r="N93" s="5" t="n"/>
    </row>
    <row r="94">
      <c r="A94" s="5" t="n"/>
      <c r="B94" s="5" t="n"/>
      <c r="C94" s="5" t="n"/>
      <c r="D94" s="5" t="n"/>
      <c r="E94" s="5" t="n"/>
      <c r="F94" s="5" t="n"/>
      <c r="G94" s="5">
        <f>IF(COUNT(D94:F94)=0,"",AVERAGE(D94:F94))</f>
        <v/>
      </c>
      <c r="H94" s="5" t="n"/>
      <c r="I94" s="5" t="n"/>
      <c r="J94" s="5" t="n"/>
      <c r="K94" s="5">
        <f>IF(COUNT(H94:J94)=0,"",AVERAGE(H94:J94))</f>
        <v/>
      </c>
      <c r="L94" s="5">
        <f>IF(K94="","",K94*9.81/Pré-medidas!$B$30)</f>
        <v/>
      </c>
      <c r="M94" s="5">
        <f>IF(L94="","",L94*Pré-medidas!$D$18/1000)</f>
        <v/>
      </c>
      <c r="N94" s="5" t="n"/>
    </row>
    <row r="95">
      <c r="A95" s="5" t="n"/>
      <c r="B95" s="5" t="n"/>
      <c r="C95" s="5" t="n"/>
      <c r="D95" s="5" t="n"/>
      <c r="E95" s="5" t="n"/>
      <c r="F95" s="5" t="n"/>
      <c r="G95" s="5">
        <f>IF(COUNT(D95:F95)=0,"",AVERAGE(D95:F95))</f>
        <v/>
      </c>
      <c r="H95" s="5" t="n"/>
      <c r="I95" s="5" t="n"/>
      <c r="J95" s="5" t="n"/>
      <c r="K95" s="5">
        <f>IF(COUNT(H95:J95)=0,"",AVERAGE(H95:J95))</f>
        <v/>
      </c>
      <c r="L95" s="5">
        <f>IF(K95="","",K95*9.81/Pré-medidas!$B$30)</f>
        <v/>
      </c>
      <c r="M95" s="5">
        <f>IF(L95="","",L95*Pré-medidas!$D$18/1000)</f>
        <v/>
      </c>
      <c r="N95" s="5" t="n"/>
    </row>
    <row r="96">
      <c r="A96" s="5" t="n"/>
      <c r="B96" s="5" t="n"/>
      <c r="C96" s="5" t="n"/>
      <c r="D96" s="5" t="n"/>
      <c r="E96" s="5" t="n"/>
      <c r="F96" s="5" t="n"/>
      <c r="G96" s="5">
        <f>IF(COUNT(D96:F96)=0,"",AVERAGE(D96:F96))</f>
        <v/>
      </c>
      <c r="H96" s="5" t="n"/>
      <c r="I96" s="5" t="n"/>
      <c r="J96" s="5" t="n"/>
      <c r="K96" s="5">
        <f>IF(COUNT(H96:J96)=0,"",AVERAGE(H96:J96))</f>
        <v/>
      </c>
      <c r="L96" s="5">
        <f>IF(K96="","",K96*9.81/Pré-medidas!$B$30)</f>
        <v/>
      </c>
      <c r="M96" s="5">
        <f>IF(L96="","",L96*Pré-medidas!$D$18/1000)</f>
        <v/>
      </c>
      <c r="N96" s="5" t="n"/>
    </row>
    <row r="97">
      <c r="A97" s="5" t="n"/>
      <c r="B97" s="5" t="n"/>
      <c r="C97" s="5" t="n"/>
      <c r="D97" s="5" t="n"/>
      <c r="E97" s="5" t="n"/>
      <c r="F97" s="5" t="n"/>
      <c r="G97" s="5">
        <f>IF(COUNT(D97:F97)=0,"",AVERAGE(D97:F97))</f>
        <v/>
      </c>
      <c r="H97" s="5" t="n"/>
      <c r="I97" s="5" t="n"/>
      <c r="J97" s="5" t="n"/>
      <c r="K97" s="5">
        <f>IF(COUNT(H97:J97)=0,"",AVERAGE(H97:J97))</f>
        <v/>
      </c>
      <c r="L97" s="5">
        <f>IF(K97="","",K97*9.81/Pré-medidas!$B$30)</f>
        <v/>
      </c>
      <c r="M97" s="5">
        <f>IF(L97="","",L97*Pré-medidas!$D$18/1000)</f>
        <v/>
      </c>
      <c r="N97" s="5" t="n"/>
    </row>
    <row r="98">
      <c r="A98" s="5" t="n"/>
      <c r="B98" s="5" t="n"/>
      <c r="C98" s="5" t="n"/>
      <c r="D98" s="5" t="n"/>
      <c r="E98" s="5" t="n"/>
      <c r="F98" s="5" t="n"/>
      <c r="G98" s="5">
        <f>IF(COUNT(D98:F98)=0,"",AVERAGE(D98:F98))</f>
        <v/>
      </c>
      <c r="H98" s="5" t="n"/>
      <c r="I98" s="5" t="n"/>
      <c r="J98" s="5" t="n"/>
      <c r="K98" s="5">
        <f>IF(COUNT(H98:J98)=0,"",AVERAGE(H98:J98))</f>
        <v/>
      </c>
      <c r="L98" s="5">
        <f>IF(K98="","",K98*9.81/Pré-medidas!$B$30)</f>
        <v/>
      </c>
      <c r="M98" s="5">
        <f>IF(L98="","",L98*Pré-medidas!$D$18/1000)</f>
        <v/>
      </c>
      <c r="N98" s="5" t="n"/>
    </row>
    <row r="99">
      <c r="A99" s="5" t="n"/>
      <c r="B99" s="5" t="n"/>
      <c r="C99" s="5" t="n"/>
      <c r="D99" s="5" t="n"/>
      <c r="E99" s="5" t="n"/>
      <c r="F99" s="5" t="n"/>
      <c r="G99" s="5">
        <f>IF(COUNT(D99:F99)=0,"",AVERAGE(D99:F99))</f>
        <v/>
      </c>
      <c r="H99" s="5" t="n"/>
      <c r="I99" s="5" t="n"/>
      <c r="J99" s="5" t="n"/>
      <c r="K99" s="5">
        <f>IF(COUNT(H99:J99)=0,"",AVERAGE(H99:J99))</f>
        <v/>
      </c>
      <c r="L99" s="5">
        <f>IF(K99="","",K99*9.81/Pré-medidas!$B$30)</f>
        <v/>
      </c>
      <c r="M99" s="5">
        <f>IF(L99="","",L99*Pré-medidas!$D$18/1000)</f>
        <v/>
      </c>
      <c r="N99" s="5" t="n"/>
    </row>
    <row r="100">
      <c r="A100" s="5" t="n"/>
      <c r="B100" s="5" t="n"/>
      <c r="C100" s="5" t="n"/>
      <c r="D100" s="5" t="n"/>
      <c r="E100" s="5" t="n"/>
      <c r="F100" s="5" t="n"/>
      <c r="G100" s="5">
        <f>IF(COUNT(D100:F100)=0,"",AVERAGE(D100:F100))</f>
        <v/>
      </c>
      <c r="H100" s="5" t="n"/>
      <c r="I100" s="5" t="n"/>
      <c r="J100" s="5" t="n"/>
      <c r="K100" s="5">
        <f>IF(COUNT(H100:J100)=0,"",AVERAGE(H100:J100))</f>
        <v/>
      </c>
      <c r="L100" s="5">
        <f>IF(K100="","",K100*9.81/Pré-medidas!$B$30)</f>
        <v/>
      </c>
      <c r="M100" s="5">
        <f>IF(L100="","",L100*Pré-medidas!$D$18/1000)</f>
        <v/>
      </c>
      <c r="N100" s="5" t="n"/>
    </row>
    <row r="101">
      <c r="A101" s="5" t="n"/>
      <c r="B101" s="5" t="n"/>
      <c r="C101" s="5" t="n"/>
      <c r="D101" s="5" t="n"/>
      <c r="E101" s="5" t="n"/>
      <c r="F101" s="5" t="n"/>
      <c r="G101" s="5">
        <f>IF(COUNT(D101:F101)=0,"",AVERAGE(D101:F101))</f>
        <v/>
      </c>
      <c r="H101" s="5" t="n"/>
      <c r="I101" s="5" t="n"/>
      <c r="J101" s="5" t="n"/>
      <c r="K101" s="5">
        <f>IF(COUNT(H101:J101)=0,"",AVERAGE(H101:J101))</f>
        <v/>
      </c>
      <c r="L101" s="5">
        <f>IF(K101="","",K101*9.81/Pré-medidas!$B$30)</f>
        <v/>
      </c>
      <c r="M101" s="5">
        <f>IF(L101="","",L101*Pré-medidas!$D$18/1000)</f>
        <v/>
      </c>
      <c r="N101" s="5" t="n"/>
    </row>
    <row r="102">
      <c r="A102" s="5" t="n"/>
      <c r="B102" s="5" t="n"/>
      <c r="C102" s="5" t="n"/>
      <c r="D102" s="5" t="n"/>
      <c r="E102" s="5" t="n"/>
      <c r="F102" s="5" t="n"/>
      <c r="G102" s="5">
        <f>IF(COUNT(D102:F102)=0,"",AVERAGE(D102:F102))</f>
        <v/>
      </c>
      <c r="H102" s="5" t="n"/>
      <c r="I102" s="5" t="n"/>
      <c r="J102" s="5" t="n"/>
      <c r="K102" s="5">
        <f>IF(COUNT(H102:J102)=0,"",AVERAGE(H102:J102))</f>
        <v/>
      </c>
      <c r="L102" s="5">
        <f>IF(K102="","",K102*9.81/Pré-medidas!$B$30)</f>
        <v/>
      </c>
      <c r="M102" s="5">
        <f>IF(L102="","",L102*Pré-medidas!$D$18/1000)</f>
        <v/>
      </c>
      <c r="N102" s="5" t="n"/>
    </row>
    <row r="103">
      <c r="A103" s="5" t="n"/>
      <c r="B103" s="5" t="n"/>
      <c r="C103" s="5" t="n"/>
      <c r="D103" s="5" t="n"/>
      <c r="E103" s="5" t="n"/>
      <c r="F103" s="5" t="n"/>
      <c r="G103" s="5">
        <f>IF(COUNT(D103:F103)=0,"",AVERAGE(D103:F103))</f>
        <v/>
      </c>
      <c r="H103" s="5" t="n"/>
      <c r="I103" s="5" t="n"/>
      <c r="J103" s="5" t="n"/>
      <c r="K103" s="5">
        <f>IF(COUNT(H103:J103)=0,"",AVERAGE(H103:J103))</f>
        <v/>
      </c>
      <c r="L103" s="5">
        <f>IF(K103="","",K103*9.81/Pré-medidas!$B$30)</f>
        <v/>
      </c>
      <c r="M103" s="5">
        <f>IF(L103="","",L103*Pré-medidas!$D$18/1000)</f>
        <v/>
      </c>
      <c r="N103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>
      <c r="A1" s="1" t="inlineStr">
        <is>
          <t>RESUMO PÓS-ENSAIO</t>
        </is>
      </c>
    </row>
    <row r="3">
      <c r="A3" s="2" t="inlineStr">
        <is>
          <t>Item</t>
        </is>
      </c>
      <c r="B3" s="2" t="inlineStr">
        <is>
          <t>Valor</t>
        </is>
      </c>
    </row>
    <row r="4">
      <c r="A4" s="3" t="inlineStr">
        <is>
          <t>Arquivo CSV da série</t>
        </is>
      </c>
      <c r="B4" s="3" t="inlineStr"/>
    </row>
    <row r="5">
      <c r="A5" s="3" t="inlineStr">
        <is>
          <t>Corrente de saturação I_sat (joelho da curva) (A)</t>
        </is>
      </c>
      <c r="B5" s="3" t="inlineStr"/>
    </row>
    <row r="6">
      <c r="A6" s="3" t="inlineStr">
        <is>
          <t>Força de saturação F_sat (N)</t>
        </is>
      </c>
      <c r="B6" s="3" t="inlineStr"/>
    </row>
    <row r="7">
      <c r="A7" s="3" t="inlineStr">
        <is>
          <t>μ ≈ F_sat / (m_total × g)</t>
        </is>
      </c>
      <c r="B7" s="3" t="inlineStr"/>
    </row>
    <row r="8">
      <c r="A8" s="3" t="inlineStr">
        <is>
          <t>Sensibilidade da reta â (N·m/A)</t>
        </is>
      </c>
      <c r="B8" s="3" t="inlineStr"/>
    </row>
    <row r="9">
      <c r="A9" s="3" t="inlineStr">
        <is>
          <t>Offset da reta b̂ (N·m)</t>
        </is>
      </c>
      <c r="B9" s="3" t="inlineStr"/>
    </row>
    <row r="10">
      <c r="A10" s="3" t="inlineStr">
        <is>
          <t>Incerteza expandida U (N·m)</t>
        </is>
      </c>
      <c r="B10" s="3" t="inlineStr"/>
    </row>
    <row r="11">
      <c r="A11" s="3" t="inlineStr">
        <is>
          <t>Temperatura ambiente (°C)</t>
        </is>
      </c>
      <c r="B11" s="3" t="inlineStr"/>
    </row>
    <row r="12">
      <c r="A12" s="3" t="inlineStr">
        <is>
          <t>Observações (patinagem, wheelie, deriva de zero, ...)</t>
        </is>
      </c>
      <c r="B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2026-10-15T03:51:29Z</dcterms:created>
  <dcterms:modified xmlns:dcterms="http://purl.org/dc/terms/" xmlns:xsi="http://www.w3.org/2001/XMLSchema-instance" xsi:type="dcterms:W3CDTF">2026-10-15T03:51:29Z</dcterms:modified>
</cp:coreProperties>
</file>